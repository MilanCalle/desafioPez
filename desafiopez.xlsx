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E2515910-AA13-4EF6-A9E5-84C9E7FB607B}" xr6:coauthVersionLast="47" xr6:coauthVersionMax="47" xr10:uidLastSave="{00000000-0000-0000-0000-000000000000}"/>
  <bookViews>
    <workbookView xWindow="-110" yWindow="-110" windowWidth="19420" windowHeight="10300" xr2:uid="{0B53CFA0-1544-4AFF-B14B-F52C60B4C346}"/>
  </bookViews>
  <sheets>
    <sheet name="ej35_Euler" sheetId="5" r:id="rId1"/>
    <sheet name="ej35_Heun" sheetId="6" r:id="rId2"/>
    <sheet name="ej41_Euler" sheetId="7" r:id="rId3"/>
    <sheet name="Ej41_Heun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2" i="8" l="1"/>
  <c r="C82" i="8"/>
  <c r="E82" i="8" s="1"/>
  <c r="F82" i="8" s="1"/>
  <c r="D82" i="8"/>
  <c r="B72" i="8"/>
  <c r="B73" i="8" s="1"/>
  <c r="B74" i="8" s="1"/>
  <c r="B75" i="8" s="1"/>
  <c r="B76" i="8" s="1"/>
  <c r="B77" i="8" s="1"/>
  <c r="B78" i="8" s="1"/>
  <c r="B79" i="8" s="1"/>
  <c r="B80" i="8" s="1"/>
  <c r="B81" i="8" s="1"/>
  <c r="C72" i="8"/>
  <c r="D72" i="8" s="1"/>
  <c r="B30" i="8"/>
  <c r="C30" i="8"/>
  <c r="D30" i="8"/>
  <c r="E30" i="8" s="1"/>
  <c r="F30" i="8" s="1"/>
  <c r="G30" i="8" s="1"/>
  <c r="B31" i="8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C31" i="8"/>
  <c r="B43" i="8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18" i="8"/>
  <c r="C18" i="8"/>
  <c r="D18" i="8"/>
  <c r="E18" i="8"/>
  <c r="F18" i="8"/>
  <c r="G18" i="8"/>
  <c r="B19" i="8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C19" i="8"/>
  <c r="D19" i="8" s="1"/>
  <c r="B8" i="8"/>
  <c r="C8" i="8"/>
  <c r="D8" i="8"/>
  <c r="E8" i="8"/>
  <c r="F8" i="8"/>
  <c r="G8" i="8"/>
  <c r="B9" i="8"/>
  <c r="B10" i="8" s="1"/>
  <c r="B11" i="8" s="1"/>
  <c r="B12" i="8" s="1"/>
  <c r="B13" i="8" s="1"/>
  <c r="B14" i="8" s="1"/>
  <c r="B15" i="8" s="1"/>
  <c r="B16" i="8" s="1"/>
  <c r="B17" i="8" s="1"/>
  <c r="C9" i="8"/>
  <c r="D9" i="8" s="1"/>
  <c r="D2" i="8"/>
  <c r="E2" i="8"/>
  <c r="F2" i="8" s="1"/>
  <c r="B3" i="8"/>
  <c r="B4" i="8" s="1"/>
  <c r="B5" i="8" s="1"/>
  <c r="B6" i="8" s="1"/>
  <c r="B7" i="8" s="1"/>
  <c r="B61" i="7"/>
  <c r="C61" i="7"/>
  <c r="D61" i="7" s="1"/>
  <c r="C62" i="7" s="1"/>
  <c r="B62" i="7"/>
  <c r="B63" i="7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54" i="7"/>
  <c r="B55" i="7" s="1"/>
  <c r="B56" i="7" s="1"/>
  <c r="B57" i="7" s="1"/>
  <c r="B58" i="7" s="1"/>
  <c r="B59" i="7" s="1"/>
  <c r="B60" i="7" s="1"/>
  <c r="C54" i="7"/>
  <c r="D54" i="7" s="1"/>
  <c r="B42" i="7"/>
  <c r="C42" i="7"/>
  <c r="B43" i="7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29" i="7"/>
  <c r="C29" i="7"/>
  <c r="D29" i="7"/>
  <c r="B30" i="7"/>
  <c r="C30" i="7"/>
  <c r="D30" i="7" s="1"/>
  <c r="C31" i="7" s="1"/>
  <c r="B31" i="7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19" i="7"/>
  <c r="B20" i="7" s="1"/>
  <c r="B21" i="7" s="1"/>
  <c r="B22" i="7" s="1"/>
  <c r="B23" i="7" s="1"/>
  <c r="B24" i="7" s="1"/>
  <c r="B25" i="7" s="1"/>
  <c r="B26" i="7" s="1"/>
  <c r="B27" i="7" s="1"/>
  <c r="B28" i="7" s="1"/>
  <c r="C19" i="7"/>
  <c r="D19" i="7" s="1"/>
  <c r="C20" i="7" s="1"/>
  <c r="B8" i="7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C8" i="7"/>
  <c r="D8" i="7" s="1"/>
  <c r="D2" i="7"/>
  <c r="C3" i="7" s="1"/>
  <c r="B3" i="7"/>
  <c r="B4" i="7"/>
  <c r="B5" i="7" s="1"/>
  <c r="B6" i="7" s="1"/>
  <c r="B7" i="7" s="1"/>
  <c r="B14" i="6"/>
  <c r="B15" i="6" s="1"/>
  <c r="B16" i="6" s="1"/>
  <c r="B17" i="6" s="1"/>
  <c r="C14" i="6"/>
  <c r="E14" i="6" s="1"/>
  <c r="F14" i="6" s="1"/>
  <c r="D14" i="6"/>
  <c r="B8" i="6"/>
  <c r="B9" i="6" s="1"/>
  <c r="B10" i="6" s="1"/>
  <c r="B11" i="6" s="1"/>
  <c r="B12" i="6" s="1"/>
  <c r="B13" i="6" s="1"/>
  <c r="C8" i="6"/>
  <c r="D8" i="6"/>
  <c r="E8" i="6" s="1"/>
  <c r="F8" i="6" s="1"/>
  <c r="G8" i="6" s="1"/>
  <c r="C9" i="6" s="1"/>
  <c r="D2" i="6"/>
  <c r="E2" i="6" s="1"/>
  <c r="F2" i="6" s="1"/>
  <c r="B3" i="6"/>
  <c r="B4" i="6" s="1"/>
  <c r="B5" i="6" s="1"/>
  <c r="B6" i="6" s="1"/>
  <c r="B7" i="6" s="1"/>
  <c r="B15" i="5"/>
  <c r="B16" i="5" s="1"/>
  <c r="B17" i="5" s="1"/>
  <c r="B18" i="5" s="1"/>
  <c r="B19" i="5" s="1"/>
  <c r="C15" i="5"/>
  <c r="C16" i="5" s="1"/>
  <c r="D15" i="5"/>
  <c r="B8" i="5"/>
  <c r="C8" i="5"/>
  <c r="D8" i="5" s="1"/>
  <c r="C9" i="5" s="1"/>
  <c r="B9" i="5"/>
  <c r="B10" i="5"/>
  <c r="B11" i="5" s="1"/>
  <c r="B12" i="5" s="1"/>
  <c r="B13" i="5" s="1"/>
  <c r="B14" i="5" s="1"/>
  <c r="D2" i="5"/>
  <c r="B3" i="5"/>
  <c r="B4" i="5" s="1"/>
  <c r="B5" i="5" s="1"/>
  <c r="B6" i="5" s="1"/>
  <c r="B7" i="5" s="1"/>
  <c r="C3" i="5"/>
  <c r="D3" i="5" s="1"/>
  <c r="C4" i="5" s="1"/>
  <c r="G82" i="8" l="1"/>
  <c r="E72" i="8"/>
  <c r="F72" i="8" s="1"/>
  <c r="G72" i="8" s="1"/>
  <c r="C73" i="8" s="1"/>
  <c r="D31" i="8"/>
  <c r="E31" i="8"/>
  <c r="F31" i="8" s="1"/>
  <c r="G31" i="8"/>
  <c r="C32" i="8" s="1"/>
  <c r="E19" i="8"/>
  <c r="F19" i="8" s="1"/>
  <c r="G19" i="8" s="1"/>
  <c r="C20" i="8" s="1"/>
  <c r="E9" i="8"/>
  <c r="F9" i="8" s="1"/>
  <c r="G9" i="8" s="1"/>
  <c r="C10" i="8" s="1"/>
  <c r="G2" i="8"/>
  <c r="C3" i="8" s="1"/>
  <c r="D62" i="7"/>
  <c r="C63" i="7" s="1"/>
  <c r="C55" i="7"/>
  <c r="D42" i="7"/>
  <c r="C43" i="7" s="1"/>
  <c r="D31" i="7"/>
  <c r="C32" i="7" s="1"/>
  <c r="D20" i="7"/>
  <c r="C21" i="7" s="1"/>
  <c r="C9" i="7"/>
  <c r="D3" i="7"/>
  <c r="C4" i="7"/>
  <c r="G14" i="6"/>
  <c r="C15" i="6" s="1"/>
  <c r="D9" i="6"/>
  <c r="E9" i="6" s="1"/>
  <c r="F9" i="6" s="1"/>
  <c r="G9" i="6" s="1"/>
  <c r="C10" i="6" s="1"/>
  <c r="G2" i="6"/>
  <c r="C3" i="6" s="1"/>
  <c r="D16" i="5"/>
  <c r="C17" i="5"/>
  <c r="D9" i="5"/>
  <c r="C10" i="5"/>
  <c r="D4" i="5"/>
  <c r="C5" i="5" s="1"/>
  <c r="D73" i="8" l="1"/>
  <c r="E73" i="8" s="1"/>
  <c r="F73" i="8" s="1"/>
  <c r="D32" i="8"/>
  <c r="E32" i="8"/>
  <c r="F32" i="8" s="1"/>
  <c r="G32" i="8" s="1"/>
  <c r="C33" i="8" s="1"/>
  <c r="D20" i="8"/>
  <c r="G20" i="8" s="1"/>
  <c r="C21" i="8" s="1"/>
  <c r="E20" i="8"/>
  <c r="F20" i="8" s="1"/>
  <c r="D10" i="8"/>
  <c r="E10" i="8" s="1"/>
  <c r="F10" i="8" s="1"/>
  <c r="D3" i="8"/>
  <c r="E3" i="8" s="1"/>
  <c r="F3" i="8" s="1"/>
  <c r="D63" i="7"/>
  <c r="C64" i="7"/>
  <c r="D55" i="7"/>
  <c r="C56" i="7"/>
  <c r="D43" i="7"/>
  <c r="C44" i="7" s="1"/>
  <c r="D32" i="7"/>
  <c r="C33" i="7"/>
  <c r="D21" i="7"/>
  <c r="C22" i="7" s="1"/>
  <c r="D9" i="7"/>
  <c r="C10" i="7"/>
  <c r="D4" i="7"/>
  <c r="C5" i="7" s="1"/>
  <c r="D15" i="6"/>
  <c r="G15" i="6" s="1"/>
  <c r="C16" i="6" s="1"/>
  <c r="E15" i="6"/>
  <c r="F15" i="6" s="1"/>
  <c r="D10" i="6"/>
  <c r="G10" i="6" s="1"/>
  <c r="C11" i="6" s="1"/>
  <c r="E10" i="6"/>
  <c r="F10" i="6" s="1"/>
  <c r="D3" i="6"/>
  <c r="E3" i="6" s="1"/>
  <c r="F3" i="6" s="1"/>
  <c r="D17" i="5"/>
  <c r="C18" i="5"/>
  <c r="D10" i="5"/>
  <c r="C11" i="5"/>
  <c r="D5" i="5"/>
  <c r="C6" i="5"/>
  <c r="C7" i="5" s="1"/>
  <c r="D7" i="5" s="1"/>
  <c r="D6" i="5"/>
  <c r="G73" i="8" l="1"/>
  <c r="C74" i="8" s="1"/>
  <c r="D33" i="8"/>
  <c r="E33" i="8" s="1"/>
  <c r="F33" i="8" s="1"/>
  <c r="G33" i="8" s="1"/>
  <c r="C34" i="8" s="1"/>
  <c r="E21" i="8"/>
  <c r="F21" i="8" s="1"/>
  <c r="G21" i="8" s="1"/>
  <c r="C22" i="8" s="1"/>
  <c r="D21" i="8"/>
  <c r="G10" i="8"/>
  <c r="C11" i="8" s="1"/>
  <c r="G3" i="8"/>
  <c r="C4" i="8" s="1"/>
  <c r="D64" i="7"/>
  <c r="C65" i="7" s="1"/>
  <c r="D56" i="7"/>
  <c r="C57" i="7" s="1"/>
  <c r="D44" i="7"/>
  <c r="C45" i="7" s="1"/>
  <c r="D33" i="7"/>
  <c r="C34" i="7" s="1"/>
  <c r="D22" i="7"/>
  <c r="C23" i="7" s="1"/>
  <c r="D10" i="7"/>
  <c r="C11" i="7" s="1"/>
  <c r="D5" i="7"/>
  <c r="C6" i="7"/>
  <c r="D16" i="6"/>
  <c r="E16" i="6"/>
  <c r="F16" i="6" s="1"/>
  <c r="G16" i="6"/>
  <c r="C17" i="6" s="1"/>
  <c r="D11" i="6"/>
  <c r="G3" i="6"/>
  <c r="C4" i="6" s="1"/>
  <c r="D18" i="5"/>
  <c r="C19" i="5"/>
  <c r="D19" i="5" s="1"/>
  <c r="D11" i="5"/>
  <c r="C12" i="5" s="1"/>
  <c r="D74" i="8" l="1"/>
  <c r="D34" i="8"/>
  <c r="E34" i="8"/>
  <c r="F34" i="8" s="1"/>
  <c r="G34" i="8" s="1"/>
  <c r="C35" i="8" s="1"/>
  <c r="D22" i="8"/>
  <c r="E22" i="8"/>
  <c r="F22" i="8" s="1"/>
  <c r="G22" i="8"/>
  <c r="C23" i="8" s="1"/>
  <c r="D11" i="8"/>
  <c r="E11" i="8"/>
  <c r="F11" i="8" s="1"/>
  <c r="G11" i="8"/>
  <c r="C12" i="8" s="1"/>
  <c r="D4" i="8"/>
  <c r="E4" i="8"/>
  <c r="F4" i="8" s="1"/>
  <c r="D65" i="7"/>
  <c r="C66" i="7" s="1"/>
  <c r="D57" i="7"/>
  <c r="C58" i="7"/>
  <c r="D45" i="7"/>
  <c r="C46" i="7" s="1"/>
  <c r="D34" i="7"/>
  <c r="C35" i="7" s="1"/>
  <c r="D23" i="7"/>
  <c r="C24" i="7" s="1"/>
  <c r="D11" i="7"/>
  <c r="C12" i="7"/>
  <c r="D6" i="7"/>
  <c r="C7" i="7"/>
  <c r="D7" i="7" s="1"/>
  <c r="D17" i="6"/>
  <c r="E17" i="6"/>
  <c r="F17" i="6" s="1"/>
  <c r="G17" i="6"/>
  <c r="E11" i="6"/>
  <c r="F11" i="6" s="1"/>
  <c r="G11" i="6" s="1"/>
  <c r="C12" i="6" s="1"/>
  <c r="D4" i="6"/>
  <c r="E4" i="6"/>
  <c r="F4" i="6" s="1"/>
  <c r="G4" i="6"/>
  <c r="C5" i="6" s="1"/>
  <c r="D12" i="5"/>
  <c r="C13" i="5" s="1"/>
  <c r="E74" i="8" l="1"/>
  <c r="F74" i="8" s="1"/>
  <c r="G74" i="8" s="1"/>
  <c r="C75" i="8" s="1"/>
  <c r="D35" i="8"/>
  <c r="E35" i="8"/>
  <c r="F35" i="8" s="1"/>
  <c r="G35" i="8"/>
  <c r="C36" i="8" s="1"/>
  <c r="D23" i="8"/>
  <c r="E23" i="8" s="1"/>
  <c r="F23" i="8" s="1"/>
  <c r="D12" i="8"/>
  <c r="E12" i="8" s="1"/>
  <c r="F12" i="8" s="1"/>
  <c r="G4" i="8"/>
  <c r="C5" i="8" s="1"/>
  <c r="D5" i="8"/>
  <c r="E5" i="8"/>
  <c r="F5" i="8" s="1"/>
  <c r="G5" i="8" s="1"/>
  <c r="C6" i="8" s="1"/>
  <c r="D66" i="7"/>
  <c r="C67" i="7" s="1"/>
  <c r="D58" i="7"/>
  <c r="C59" i="7" s="1"/>
  <c r="D46" i="7"/>
  <c r="C47" i="7" s="1"/>
  <c r="D35" i="7"/>
  <c r="C36" i="7"/>
  <c r="D24" i="7"/>
  <c r="C25" i="7" s="1"/>
  <c r="D12" i="7"/>
  <c r="C13" i="7"/>
  <c r="D12" i="6"/>
  <c r="E12" i="6"/>
  <c r="F12" i="6" s="1"/>
  <c r="G12" i="6"/>
  <c r="C13" i="6" s="1"/>
  <c r="D5" i="6"/>
  <c r="E5" i="6"/>
  <c r="F5" i="6" s="1"/>
  <c r="D13" i="5"/>
  <c r="C14" i="5" s="1"/>
  <c r="D14" i="5" s="1"/>
  <c r="D75" i="8" l="1"/>
  <c r="D36" i="8"/>
  <c r="E36" i="8"/>
  <c r="F36" i="8" s="1"/>
  <c r="G36" i="8" s="1"/>
  <c r="C37" i="8" s="1"/>
  <c r="G23" i="8"/>
  <c r="C24" i="8" s="1"/>
  <c r="G12" i="8"/>
  <c r="C13" i="8" s="1"/>
  <c r="D6" i="8"/>
  <c r="D67" i="7"/>
  <c r="C68" i="7"/>
  <c r="D59" i="7"/>
  <c r="C60" i="7" s="1"/>
  <c r="D60" i="7" s="1"/>
  <c r="D47" i="7"/>
  <c r="C48" i="7" s="1"/>
  <c r="D36" i="7"/>
  <c r="C37" i="7" s="1"/>
  <c r="D25" i="7"/>
  <c r="C26" i="7" s="1"/>
  <c r="D13" i="7"/>
  <c r="C14" i="7" s="1"/>
  <c r="D13" i="6"/>
  <c r="E13" i="6" s="1"/>
  <c r="F13" i="6" s="1"/>
  <c r="G13" i="6" s="1"/>
  <c r="G5" i="6"/>
  <c r="C6" i="6" s="1"/>
  <c r="D6" i="6"/>
  <c r="E6" i="6"/>
  <c r="F6" i="6" s="1"/>
  <c r="G6" i="6"/>
  <c r="C7" i="6" s="1"/>
  <c r="E75" i="8" l="1"/>
  <c r="F75" i="8" s="1"/>
  <c r="G75" i="8" s="1"/>
  <c r="C76" i="8" s="1"/>
  <c r="E37" i="8"/>
  <c r="F37" i="8" s="1"/>
  <c r="D37" i="8"/>
  <c r="G37" i="8" s="1"/>
  <c r="C38" i="8" s="1"/>
  <c r="D24" i="8"/>
  <c r="D13" i="8"/>
  <c r="E13" i="8"/>
  <c r="F13" i="8" s="1"/>
  <c r="G13" i="8" s="1"/>
  <c r="C14" i="8" s="1"/>
  <c r="E6" i="8"/>
  <c r="F6" i="8" s="1"/>
  <c r="G6" i="8" s="1"/>
  <c r="C7" i="8" s="1"/>
  <c r="D68" i="7"/>
  <c r="C69" i="7" s="1"/>
  <c r="D48" i="7"/>
  <c r="C49" i="7"/>
  <c r="D37" i="7"/>
  <c r="C38" i="7" s="1"/>
  <c r="D26" i="7"/>
  <c r="C27" i="7" s="1"/>
  <c r="D14" i="7"/>
  <c r="C15" i="7"/>
  <c r="D7" i="6"/>
  <c r="E7" i="6"/>
  <c r="F7" i="6" s="1"/>
  <c r="G7" i="6"/>
  <c r="D76" i="8" l="1"/>
  <c r="E76" i="8" s="1"/>
  <c r="F76" i="8" s="1"/>
  <c r="G76" i="8" s="1"/>
  <c r="C77" i="8" s="1"/>
  <c r="D38" i="8"/>
  <c r="E38" i="8"/>
  <c r="F38" i="8" s="1"/>
  <c r="G38" i="8" s="1"/>
  <c r="C39" i="8" s="1"/>
  <c r="E24" i="8"/>
  <c r="F24" i="8" s="1"/>
  <c r="G24" i="8" s="1"/>
  <c r="C25" i="8" s="1"/>
  <c r="D14" i="8"/>
  <c r="E14" i="8"/>
  <c r="F14" i="8" s="1"/>
  <c r="G14" i="8"/>
  <c r="C15" i="8" s="1"/>
  <c r="D7" i="8"/>
  <c r="E7" i="8"/>
  <c r="F7" i="8" s="1"/>
  <c r="G7" i="8" s="1"/>
  <c r="D69" i="7"/>
  <c r="C70" i="7" s="1"/>
  <c r="D49" i="7"/>
  <c r="C50" i="7"/>
  <c r="D38" i="7"/>
  <c r="C39" i="7" s="1"/>
  <c r="D27" i="7"/>
  <c r="C28" i="7" s="1"/>
  <c r="D28" i="7" s="1"/>
  <c r="D15" i="7"/>
  <c r="C16" i="7"/>
  <c r="D77" i="8" l="1"/>
  <c r="E77" i="8" s="1"/>
  <c r="F77" i="8" s="1"/>
  <c r="G77" i="8" s="1"/>
  <c r="C78" i="8" s="1"/>
  <c r="D39" i="8"/>
  <c r="E39" i="8" s="1"/>
  <c r="F39" i="8" s="1"/>
  <c r="G39" i="8" s="1"/>
  <c r="C40" i="8" s="1"/>
  <c r="D25" i="8"/>
  <c r="E25" i="8"/>
  <c r="F25" i="8" s="1"/>
  <c r="G25" i="8"/>
  <c r="C26" i="8" s="1"/>
  <c r="D15" i="8"/>
  <c r="E15" i="8"/>
  <c r="F15" i="8" s="1"/>
  <c r="G15" i="8"/>
  <c r="C16" i="8" s="1"/>
  <c r="D70" i="7"/>
  <c r="C71" i="7" s="1"/>
  <c r="D50" i="7"/>
  <c r="C51" i="7" s="1"/>
  <c r="D39" i="7"/>
  <c r="C40" i="7"/>
  <c r="D16" i="7"/>
  <c r="C17" i="7"/>
  <c r="D78" i="8" l="1"/>
  <c r="D40" i="8"/>
  <c r="G40" i="8" s="1"/>
  <c r="C41" i="8" s="1"/>
  <c r="E40" i="8"/>
  <c r="F40" i="8" s="1"/>
  <c r="D26" i="8"/>
  <c r="G26" i="8" s="1"/>
  <c r="C27" i="8" s="1"/>
  <c r="E26" i="8"/>
  <c r="F26" i="8" s="1"/>
  <c r="D16" i="8"/>
  <c r="E16" i="8"/>
  <c r="F16" i="8" s="1"/>
  <c r="G16" i="8"/>
  <c r="C17" i="8" s="1"/>
  <c r="D71" i="7"/>
  <c r="C72" i="7"/>
  <c r="D51" i="7"/>
  <c r="C52" i="7"/>
  <c r="D40" i="7"/>
  <c r="C41" i="7"/>
  <c r="D41" i="7" s="1"/>
  <c r="D17" i="7"/>
  <c r="C18" i="7"/>
  <c r="D18" i="7" s="1"/>
  <c r="E78" i="8" l="1"/>
  <c r="F78" i="8" s="1"/>
  <c r="G78" i="8" s="1"/>
  <c r="C79" i="8" s="1"/>
  <c r="D41" i="8"/>
  <c r="E41" i="8" s="1"/>
  <c r="F41" i="8" s="1"/>
  <c r="D27" i="8"/>
  <c r="E27" i="8"/>
  <c r="F27" i="8" s="1"/>
  <c r="G27" i="8" s="1"/>
  <c r="C28" i="8" s="1"/>
  <c r="D17" i="8"/>
  <c r="E17" i="8"/>
  <c r="F17" i="8" s="1"/>
  <c r="G17" i="8" s="1"/>
  <c r="D72" i="7"/>
  <c r="C73" i="7"/>
  <c r="D52" i="7"/>
  <c r="C53" i="7"/>
  <c r="D53" i="7" s="1"/>
  <c r="D79" i="8" l="1"/>
  <c r="E79" i="8"/>
  <c r="F79" i="8" s="1"/>
  <c r="G79" i="8" s="1"/>
  <c r="C80" i="8" s="1"/>
  <c r="G41" i="8"/>
  <c r="C42" i="8" s="1"/>
  <c r="D28" i="8"/>
  <c r="D73" i="7"/>
  <c r="C74" i="7" s="1"/>
  <c r="D80" i="8" l="1"/>
  <c r="E80" i="8"/>
  <c r="F80" i="8" s="1"/>
  <c r="G80" i="8"/>
  <c r="C81" i="8" s="1"/>
  <c r="D42" i="8"/>
  <c r="E42" i="8"/>
  <c r="F42" i="8" s="1"/>
  <c r="G42" i="8" s="1"/>
  <c r="C43" i="8" s="1"/>
  <c r="G28" i="8"/>
  <c r="C29" i="8" s="1"/>
  <c r="E28" i="8"/>
  <c r="F28" i="8" s="1"/>
  <c r="D74" i="7"/>
  <c r="C75" i="7"/>
  <c r="D81" i="8" l="1"/>
  <c r="E81" i="8" s="1"/>
  <c r="F81" i="8" s="1"/>
  <c r="D43" i="8"/>
  <c r="E43" i="8" s="1"/>
  <c r="F43" i="8" s="1"/>
  <c r="D29" i="8"/>
  <c r="E29" i="8"/>
  <c r="F29" i="8" s="1"/>
  <c r="G29" i="8"/>
  <c r="D75" i="7"/>
  <c r="C76" i="7"/>
  <c r="G81" i="8" l="1"/>
  <c r="G43" i="8"/>
  <c r="C44" i="8" s="1"/>
  <c r="D76" i="7"/>
  <c r="C77" i="7"/>
  <c r="D44" i="8" l="1"/>
  <c r="G44" i="8" s="1"/>
  <c r="C45" i="8" s="1"/>
  <c r="E44" i="8"/>
  <c r="F44" i="8" s="1"/>
  <c r="D77" i="7"/>
  <c r="C78" i="7" s="1"/>
  <c r="D45" i="8" l="1"/>
  <c r="E45" i="8" s="1"/>
  <c r="F45" i="8" s="1"/>
  <c r="D78" i="7"/>
  <c r="C79" i="7" s="1"/>
  <c r="G45" i="8" l="1"/>
  <c r="C46" i="8" s="1"/>
  <c r="D79" i="7"/>
  <c r="C80" i="7"/>
  <c r="D46" i="8" l="1"/>
  <c r="E46" i="8"/>
  <c r="F46" i="8" s="1"/>
  <c r="G46" i="8" s="1"/>
  <c r="C47" i="8" s="1"/>
  <c r="D80" i="7"/>
  <c r="C81" i="7" s="1"/>
  <c r="D47" i="8" l="1"/>
  <c r="E47" i="8"/>
  <c r="F47" i="8" s="1"/>
  <c r="G47" i="8"/>
  <c r="C48" i="8" s="1"/>
  <c r="D81" i="7"/>
  <c r="C82" i="7" s="1"/>
  <c r="D48" i="8" l="1"/>
  <c r="D82" i="7"/>
  <c r="E48" i="8" l="1"/>
  <c r="F48" i="8" s="1"/>
  <c r="G48" i="8" s="1"/>
  <c r="C49" i="8" s="1"/>
  <c r="D49" i="8" l="1"/>
  <c r="E49" i="8" s="1"/>
  <c r="F49" i="8" s="1"/>
  <c r="G49" i="8" s="1"/>
  <c r="C50" i="8" s="1"/>
  <c r="D50" i="8" l="1"/>
  <c r="E50" i="8"/>
  <c r="F50" i="8" s="1"/>
  <c r="G50" i="8" s="1"/>
  <c r="C51" i="8" s="1"/>
  <c r="D51" i="8" l="1"/>
  <c r="E51" i="8" s="1"/>
  <c r="F51" i="8" s="1"/>
  <c r="G51" i="8" l="1"/>
  <c r="C52" i="8" s="1"/>
  <c r="D52" i="8" l="1"/>
  <c r="E52" i="8" l="1"/>
  <c r="F52" i="8" s="1"/>
  <c r="G52" i="8" s="1"/>
  <c r="C53" i="8" s="1"/>
  <c r="D53" i="8" l="1"/>
  <c r="E53" i="8" s="1"/>
  <c r="F53" i="8" s="1"/>
  <c r="G53" i="8" s="1"/>
  <c r="C54" i="8" s="1"/>
  <c r="D54" i="8" l="1"/>
  <c r="G54" i="8" s="1"/>
  <c r="C55" i="8" s="1"/>
  <c r="E54" i="8"/>
  <c r="F54" i="8" s="1"/>
  <c r="D55" i="8" l="1"/>
  <c r="E55" i="8" s="1"/>
  <c r="F55" i="8" s="1"/>
  <c r="G55" i="8" l="1"/>
  <c r="C56" i="8" s="1"/>
  <c r="D56" i="8" l="1"/>
  <c r="E56" i="8" l="1"/>
  <c r="F56" i="8" s="1"/>
  <c r="G56" i="8" s="1"/>
  <c r="C57" i="8" s="1"/>
  <c r="D57" i="8" l="1"/>
  <c r="E57" i="8" s="1"/>
  <c r="F57" i="8" s="1"/>
  <c r="G57" i="8" s="1"/>
  <c r="C58" i="8" s="1"/>
  <c r="D58" i="8" l="1"/>
  <c r="E58" i="8"/>
  <c r="F58" i="8" s="1"/>
  <c r="G58" i="8" s="1"/>
  <c r="C59" i="8" s="1"/>
  <c r="D59" i="8" l="1"/>
  <c r="E59" i="8"/>
  <c r="F59" i="8" s="1"/>
  <c r="G59" i="8"/>
  <c r="C60" i="8" s="1"/>
  <c r="D60" i="8" l="1"/>
  <c r="G60" i="8" s="1"/>
  <c r="C61" i="8" s="1"/>
  <c r="E60" i="8"/>
  <c r="F60" i="8" s="1"/>
  <c r="D61" i="8" l="1"/>
  <c r="E61" i="8" s="1"/>
  <c r="F61" i="8" s="1"/>
  <c r="G61" i="8" s="1"/>
  <c r="C62" i="8" s="1"/>
  <c r="D62" i="8" l="1"/>
  <c r="G62" i="8" s="1"/>
  <c r="C63" i="8" s="1"/>
  <c r="E62" i="8"/>
  <c r="F62" i="8" s="1"/>
  <c r="D63" i="8" l="1"/>
  <c r="E63" i="8"/>
  <c r="F63" i="8" s="1"/>
  <c r="G63" i="8"/>
  <c r="C64" i="8" s="1"/>
  <c r="D64" i="8" l="1"/>
  <c r="E64" i="8" l="1"/>
  <c r="F64" i="8" s="1"/>
  <c r="G64" i="8" s="1"/>
  <c r="C65" i="8" s="1"/>
  <c r="D65" i="8" l="1"/>
  <c r="E65" i="8" s="1"/>
  <c r="F65" i="8" s="1"/>
  <c r="G65" i="8" s="1"/>
  <c r="C66" i="8" s="1"/>
  <c r="D66" i="8" l="1"/>
  <c r="E66" i="8"/>
  <c r="F66" i="8" s="1"/>
  <c r="G66" i="8" s="1"/>
  <c r="C67" i="8" s="1"/>
  <c r="D67" i="8" l="1"/>
  <c r="E67" i="8"/>
  <c r="F67" i="8" s="1"/>
  <c r="G67" i="8"/>
  <c r="C68" i="8" s="1"/>
  <c r="D68" i="8" l="1"/>
  <c r="G68" i="8" s="1"/>
  <c r="C69" i="8" s="1"/>
  <c r="E68" i="8"/>
  <c r="F68" i="8" s="1"/>
  <c r="D69" i="8" l="1"/>
  <c r="E69" i="8" s="1"/>
  <c r="F69" i="8" s="1"/>
  <c r="G69" i="8" s="1"/>
  <c r="C70" i="8" s="1"/>
  <c r="D70" i="8" l="1"/>
  <c r="E70" i="8"/>
  <c r="F70" i="8" s="1"/>
  <c r="G70" i="8" s="1"/>
  <c r="C71" i="8" s="1"/>
  <c r="D71" i="8" l="1"/>
  <c r="E71" i="8"/>
  <c r="F71" i="8" s="1"/>
  <c r="G71" i="8"/>
</calcChain>
</file>

<file path=xl/sharedStrings.xml><?xml version="1.0" encoding="utf-8"?>
<sst xmlns="http://schemas.openxmlformats.org/spreadsheetml/2006/main" count="34" uniqueCount="25">
  <si>
    <t>t</t>
  </si>
  <si>
    <t>n</t>
  </si>
  <si>
    <t>m_Euler</t>
  </si>
  <si>
    <t>f(t+h,m_pred)</t>
  </si>
  <si>
    <t>m_Heun</t>
  </si>
  <si>
    <t>w_Euler</t>
  </si>
  <si>
    <t>f(t,w)</t>
  </si>
  <si>
    <t>w_Heun</t>
  </si>
  <si>
    <t>w_pred</t>
  </si>
  <si>
    <t>f(t+h,w_pred)</t>
  </si>
  <si>
    <t>w_corr</t>
  </si>
  <si>
    <t>f(t,m)</t>
  </si>
  <si>
    <t>m_pred</t>
  </si>
  <si>
    <t>m_corr</t>
  </si>
  <si>
    <t>t (días)</t>
  </si>
  <si>
    <t>m(t) (kg) ≈</t>
  </si>
  <si>
    <t>solucion exacta :</t>
  </si>
  <si>
    <t>w(t) lb</t>
  </si>
  <si>
    <t>≈ 3.2</t>
  </si>
  <si>
    <t>≈ 7.1</t>
  </si>
  <si>
    <t>≈ 12.5</t>
  </si>
  <si>
    <t>≈ 14.4</t>
  </si>
  <si>
    <t>≈ 15.1</t>
  </si>
  <si>
    <t>≈ 15.5</t>
  </si>
  <si>
    <t>solucion exacta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</si>
</sst>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6" borderId="0" xfId="0" applyFill="1" applyAlignment="1">
      <alignment horizontal="right" vertical="center" wrapText="1"/>
    </xf>
    <xf numFmtId="0" fontId="0" fillId="6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8.6775371828521436E-2"/>
          <c:y val="0.10689814814814817"/>
          <c:w val="0.88389129483814521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ej35_Euler!$D$1</c:f>
              <c:strCache>
                <c:ptCount val="1"/>
                <c:pt idx="0">
                  <c:v>f(t,w)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ej35_Euler!$C$2:$C$19</c:f>
              <c:numCache>
                <c:formatCode>General</c:formatCode>
                <c:ptCount val="18"/>
                <c:pt idx="0">
                  <c:v>0.5</c:v>
                </c:pt>
                <c:pt idx="1">
                  <c:v>2.6498026247371831</c:v>
                </c:pt>
                <c:pt idx="2">
                  <c:v>6.9246147353718976</c:v>
                </c:pt>
                <c:pt idx="3">
                  <c:v>11.240316077736729</c:v>
                </c:pt>
                <c:pt idx="4">
                  <c:v>13.849011401335268</c:v>
                </c:pt>
                <c:pt idx="5">
                  <c:v>14.985716189379552</c:v>
                </c:pt>
                <c:pt idx="6">
                  <c:v>15.4059847183842</c:v>
                </c:pt>
                <c:pt idx="7">
                  <c:v>15.551308413859473</c:v>
                </c:pt>
                <c:pt idx="8">
                  <c:v>15.600358742552096</c:v>
                </c:pt>
                <c:pt idx="9">
                  <c:v>15.616777605845613</c:v>
                </c:pt>
                <c:pt idx="10">
                  <c:v>15.622258240190909</c:v>
                </c:pt>
                <c:pt idx="11">
                  <c:v>15.624085973143345</c:v>
                </c:pt>
                <c:pt idx="12">
                  <c:v>15.624695312498922</c:v>
                </c:pt>
                <c:pt idx="13">
                  <c:v>15.624898436179308</c:v>
                </c:pt>
                <c:pt idx="14">
                  <c:v>15.62496614524639</c:v>
                </c:pt>
                <c:pt idx="15">
                  <c:v>15.624988715065822</c:v>
                </c:pt>
                <c:pt idx="16">
                  <c:v>15.624996238353464</c:v>
                </c:pt>
                <c:pt idx="17">
                  <c:v>15.624998746117623</c:v>
                </c:pt>
              </c:numCache>
            </c:numRef>
          </c:xVal>
          <c:yVal>
            <c:numRef>
              <c:f>ej35_Euler!$D$2:$D$19</c:f>
              <c:numCache>
                <c:formatCode>General</c:formatCode>
                <c:ptCount val="18"/>
                <c:pt idx="0">
                  <c:v>2.1498026247371831</c:v>
                </c:pt>
                <c:pt idx="1">
                  <c:v>4.2748121106347146</c:v>
                </c:pt>
                <c:pt idx="2">
                  <c:v>4.3157013423648305</c:v>
                </c:pt>
                <c:pt idx="3">
                  <c:v>2.6086953235985391</c:v>
                </c:pt>
                <c:pt idx="4">
                  <c:v>1.136704788044284</c:v>
                </c:pt>
                <c:pt idx="5">
                  <c:v>0.42026852900464817</c:v>
                </c:pt>
                <c:pt idx="6">
                  <c:v>0.14532369547527324</c:v>
                </c:pt>
                <c:pt idx="7">
                  <c:v>4.9050328692622713E-2</c:v>
                </c:pt>
                <c:pt idx="8">
                  <c:v>1.6418863293516495E-2</c:v>
                </c:pt>
                <c:pt idx="9">
                  <c:v>5.4806343452966644E-3</c:v>
                </c:pt>
                <c:pt idx="10">
                  <c:v>1.8277329524352126E-3</c:v>
                </c:pt>
                <c:pt idx="11">
                  <c:v>6.0933935557727636E-4</c:v>
                </c:pt>
                <c:pt idx="12">
                  <c:v>2.0312368038588602E-4</c:v>
                </c:pt>
                <c:pt idx="13">
                  <c:v>6.7709067081977992E-5</c:v>
                </c:pt>
                <c:pt idx="14">
                  <c:v>2.2569819432050053E-5</c:v>
                </c:pt>
                <c:pt idx="15">
                  <c:v>7.5232876426412076E-6</c:v>
                </c:pt>
                <c:pt idx="16">
                  <c:v>2.5077641581106036E-6</c:v>
                </c:pt>
                <c:pt idx="17">
                  <c:v>8.3592156130407602E-7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E6-4585-93B4-52D32EA53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23535"/>
        <c:axId val="23225455"/>
      </c:scatterChart>
      <c:valAx>
        <c:axId val="2322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225455"/>
        <c:crosses val="autoZero"/>
        <c:crossBetween val="midCat"/>
      </c:valAx>
      <c:valAx>
        <c:axId val="2322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22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ej35_Heun!$C$2:$C$17</c:f>
              <c:numCache>
                <c:formatCode>General</c:formatCode>
                <c:ptCount val="16"/>
                <c:pt idx="0">
                  <c:v>0.5</c:v>
                </c:pt>
                <c:pt idx="1">
                  <c:v>3.7123073676859488</c:v>
                </c:pt>
                <c:pt idx="2">
                  <c:v>7.946625286350546</c:v>
                </c:pt>
                <c:pt idx="3">
                  <c:v>11.068871727488046</c:v>
                </c:pt>
                <c:pt idx="4">
                  <c:v>13.010872684275382</c:v>
                </c:pt>
                <c:pt idx="5">
                  <c:v>14.148194206039033</c:v>
                </c:pt>
                <c:pt idx="6">
                  <c:v>14.797165411715394</c:v>
                </c:pt>
                <c:pt idx="7">
                  <c:v>15.162841831407333</c:v>
                </c:pt>
                <c:pt idx="8">
                  <c:v>15.367556037385665</c:v>
                </c:pt>
                <c:pt idx="9">
                  <c:v>15.481763647518079</c:v>
                </c:pt>
                <c:pt idx="10">
                  <c:v>15.545358984634042</c:v>
                </c:pt>
                <c:pt idx="11">
                  <c:v>15.580734873245806</c:v>
                </c:pt>
                <c:pt idx="12">
                  <c:v>15.600402057865976</c:v>
                </c:pt>
                <c:pt idx="13">
                  <c:v>15.611332562186734</c:v>
                </c:pt>
                <c:pt idx="14">
                  <c:v>15.617406388252352</c:v>
                </c:pt>
                <c:pt idx="15">
                  <c:v>15.620781144501146</c:v>
                </c:pt>
              </c:numCache>
            </c:numRef>
          </c:xVal>
          <c:yVal>
            <c:numRef>
              <c:f>ej35_Heun!$D$2:$D$17</c:f>
              <c:numCache>
                <c:formatCode>General</c:formatCode>
                <c:ptCount val="16"/>
                <c:pt idx="0">
                  <c:v>2.1498026247371831</c:v>
                </c:pt>
                <c:pt idx="1">
                  <c:v>4.5629957389597058</c:v>
                </c:pt>
                <c:pt idx="2">
                  <c:v>4.0176923579978201</c:v>
                </c:pt>
                <c:pt idx="3">
                  <c:v>2.6958122778308251</c:v>
                </c:pt>
                <c:pt idx="4">
                  <c:v>1.6375400451743189</c:v>
                </c:pt>
                <c:pt idx="5">
                  <c:v>0.95213949454022284</c:v>
                </c:pt>
                <c:pt idx="6">
                  <c:v>0.54190623245436598</c:v>
                </c:pt>
                <c:pt idx="7">
                  <c:v>0.30502708248662813</c:v>
                </c:pt>
                <c:pt idx="8">
                  <c:v>0.17067972689981303</c:v>
                </c:pt>
                <c:pt idx="9">
                  <c:v>9.5197914021134977E-2</c:v>
                </c:pt>
                <c:pt idx="10">
                  <c:v>5.3003598118444017E-2</c:v>
                </c:pt>
                <c:pt idx="11">
                  <c:v>2.9482182314595207E-2</c:v>
                </c:pt>
                <c:pt idx="12">
                  <c:v>1.6390016782811045E-2</c:v>
                </c:pt>
                <c:pt idx="13">
                  <c:v>9.1089674806461574E-3</c:v>
                </c:pt>
                <c:pt idx="14">
                  <c:v>5.0615875594317572E-3</c:v>
                </c:pt>
                <c:pt idx="15">
                  <c:v>2.8123171645226819E-3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4F-4161-8FEF-AA0ACA243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71695"/>
        <c:axId val="23181775"/>
      </c:scatterChart>
      <c:valAx>
        <c:axId val="2317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181775"/>
        <c:crosses val="autoZero"/>
        <c:crossBetween val="midCat"/>
      </c:valAx>
      <c:valAx>
        <c:axId val="2318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17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ej41_Euler!$C$2:$C$82</c:f>
              <c:numCache>
                <c:formatCode>General</c:formatCode>
                <c:ptCount val="81"/>
                <c:pt idx="0">
                  <c:v>1</c:v>
                </c:pt>
                <c:pt idx="1">
                  <c:v>2.1395782878797869</c:v>
                </c:pt>
                <c:pt idx="2">
                  <c:v>4.0220396541966972</c:v>
                </c:pt>
                <c:pt idx="3">
                  <c:v>6.8325703128495663</c:v>
                </c:pt>
                <c:pt idx="4">
                  <c:v>10.709088997042052</c:v>
                </c:pt>
                <c:pt idx="5">
                  <c:v>15.729151320908013</c:v>
                </c:pt>
                <c:pt idx="6">
                  <c:v>21.907346615449484</c:v>
                </c:pt>
                <c:pt idx="7">
                  <c:v>29.2006175354635</c:v>
                </c:pt>
                <c:pt idx="8">
                  <c:v>37.518440488944144</c:v>
                </c:pt>
                <c:pt idx="9">
                  <c:v>46.735162185357169</c:v>
                </c:pt>
                <c:pt idx="10">
                  <c:v>56.702477932714146</c:v>
                </c:pt>
                <c:pt idx="11">
                  <c:v>67.260755618108632</c:v>
                </c:pt>
                <c:pt idx="12">
                  <c:v>78.248512619079747</c:v>
                </c:pt>
                <c:pt idx="13">
                  <c:v>89.509797558235775</c:v>
                </c:pt>
                <c:pt idx="14">
                  <c:v>100.89952234999326</c:v>
                </c:pt>
                <c:pt idx="15">
                  <c:v>112.2869608620187</c:v>
                </c:pt>
                <c:pt idx="16">
                  <c:v>123.55771160665051</c:v>
                </c:pt>
                <c:pt idx="17">
                  <c:v>134.6144427205891</c:v>
                </c:pt>
                <c:pt idx="18">
                  <c:v>145.3767214930283</c:v>
                </c:pt>
                <c:pt idx="19">
                  <c:v>155.78019491956437</c:v>
                </c:pt>
                <c:pt idx="20">
                  <c:v>165.77534377144087</c:v>
                </c:pt>
                <c:pt idx="21">
                  <c:v>175.32598778801523</c:v>
                </c:pt>
                <c:pt idx="22">
                  <c:v>184.40767803455469</c:v>
                </c:pt>
                <c:pt idx="23">
                  <c:v>193.0060763035388</c:v>
                </c:pt>
                <c:pt idx="24">
                  <c:v>201.1153913901731</c:v>
                </c:pt>
                <c:pt idx="25">
                  <c:v>208.73691803072754</c:v>
                </c:pt>
                <c:pt idx="26">
                  <c:v>215.87770569502371</c:v>
                </c:pt>
                <c:pt idx="27">
                  <c:v>222.54937050879647</c:v>
                </c:pt>
                <c:pt idx="28">
                  <c:v>228.76705353545003</c:v>
                </c:pt>
                <c:pt idx="29">
                  <c:v>234.54852169693322</c:v>
                </c:pt>
                <c:pt idx="30">
                  <c:v>239.91340307175247</c:v>
                </c:pt>
                <c:pt idx="31">
                  <c:v>244.88254558883767</c:v>
                </c:pt>
                <c:pt idx="32">
                  <c:v>249.47748675754195</c:v>
                </c:pt>
                <c:pt idx="33">
                  <c:v>253.72002165155479</c:v>
                </c:pt>
                <c:pt idx="34">
                  <c:v>257.63185659770033</c:v>
                </c:pt>
                <c:pt idx="35">
                  <c:v>261.2343366806428</c:v>
                </c:pt>
                <c:pt idx="36">
                  <c:v>264.54823609100282</c:v>
                </c:pt>
                <c:pt idx="37">
                  <c:v>267.59360139349036</c:v>
                </c:pt>
                <c:pt idx="38">
                  <c:v>270.38963888598005</c:v>
                </c:pt>
                <c:pt idx="39">
                  <c:v>272.95463830047282</c:v>
                </c:pt>
                <c:pt idx="40">
                  <c:v>275.30592612400858</c:v>
                </c:pt>
                <c:pt idx="41">
                  <c:v>277.45984276863425</c:v>
                </c:pt>
                <c:pt idx="42">
                  <c:v>279.4317386823692</c:v>
                </c:pt>
                <c:pt idx="43">
                  <c:v>281.2359852633943</c:v>
                </c:pt>
                <c:pt idx="44">
                  <c:v>282.88599711830722</c:v>
                </c:pt>
                <c:pt idx="45">
                  <c:v>284.39426279652088</c:v>
                </c:pt>
                <c:pt idx="46">
                  <c:v>285.77238164304021</c:v>
                </c:pt>
                <c:pt idx="47">
                  <c:v>287.03110484831791</c:v>
                </c:pt>
                <c:pt idx="48">
                  <c:v>288.18037914442829</c:v>
                </c:pt>
                <c:pt idx="49">
                  <c:v>289.22939190912246</c:v>
                </c:pt>
                <c:pt idx="50">
                  <c:v>290.18661670079717</c:v>
                </c:pt>
                <c:pt idx="51">
                  <c:v>291.05985846485521</c:v>
                </c:pt>
                <c:pt idx="52">
                  <c:v>291.85629783158163</c:v>
                </c:pt>
                <c:pt idx="53">
                  <c:v>292.58253407307001</c:v>
                </c:pt>
                <c:pt idx="54">
                  <c:v>293.24462640683902</c:v>
                </c:pt>
                <c:pt idx="55">
                  <c:v>293.84813343088246</c:v>
                </c:pt>
                <c:pt idx="56">
                  <c:v>294.39815055274141</c:v>
                </c:pt>
                <c:pt idx="57">
                  <c:v>294.89934533698613</c:v>
                </c:pt>
                <c:pt idx="58">
                  <c:v>295.35599074400272</c:v>
                </c:pt>
                <c:pt idx="59">
                  <c:v>295.77199627052983</c:v>
                </c:pt>
                <c:pt idx="60">
                  <c:v>296.1509370309646</c:v>
                </c:pt>
                <c:pt idx="61">
                  <c:v>296.49608083971503</c:v>
                </c:pt>
                <c:pt idx="62">
                  <c:v>296.81041337021077</c:v>
                </c:pt>
                <c:pt idx="63">
                  <c:v>297.09666147675733</c:v>
                </c:pt>
                <c:pt idx="64">
                  <c:v>297.35731477219446</c:v>
                </c:pt>
                <c:pt idx="65">
                  <c:v>297.59464555809183</c:v>
                </c:pt>
                <c:pt idx="66">
                  <c:v>297.81072720564077</c:v>
                </c:pt>
                <c:pt idx="67">
                  <c:v>298.00745108501582</c:v>
                </c:pt>
                <c:pt idx="68">
                  <c:v>298.18654213922133</c:v>
                </c:pt>
                <c:pt idx="69">
                  <c:v>298.34957319566155</c:v>
                </c:pt>
                <c:pt idx="70">
                  <c:v>298.49797810516043</c:v>
                </c:pt>
                <c:pt idx="71">
                  <c:v>298.63306379414269</c:v>
                </c:pt>
                <c:pt idx="72">
                  <c:v>298.75602131134849</c:v>
                </c:pt>
                <c:pt idx="73">
                  <c:v>298.8679359459361</c:v>
                </c:pt>
                <c:pt idx="74">
                  <c:v>298.96979648923951</c:v>
                </c:pt>
                <c:pt idx="75">
                  <c:v>299.06250370787933</c:v>
                </c:pt>
                <c:pt idx="76">
                  <c:v>299.14687809143834</c:v>
                </c:pt>
                <c:pt idx="77">
                  <c:v>299.22366693355673</c:v>
                </c:pt>
                <c:pt idx="78">
                  <c:v>299.29355080111043</c:v>
                </c:pt>
                <c:pt idx="79">
                  <c:v>299.35714944213345</c:v>
                </c:pt>
                <c:pt idx="80">
                  <c:v>299.41502717934532</c:v>
                </c:pt>
              </c:numCache>
            </c:numRef>
          </c:xVal>
          <c:yVal>
            <c:numRef>
              <c:f>ej41_Euler!$D$2:$D$82</c:f>
              <c:numCache>
                <c:formatCode>General</c:formatCode>
                <c:ptCount val="81"/>
                <c:pt idx="0">
                  <c:v>0.22791565757595736</c:v>
                </c:pt>
                <c:pt idx="1">
                  <c:v>0.37649227326338208</c:v>
                </c:pt>
                <c:pt idx="2">
                  <c:v>0.56210613173057378</c:v>
                </c:pt>
                <c:pt idx="3">
                  <c:v>0.77530373683849729</c:v>
                </c:pt>
                <c:pt idx="4">
                  <c:v>1.0040124647731923</c:v>
                </c:pt>
                <c:pt idx="5">
                  <c:v>1.235639058908294</c:v>
                </c:pt>
                <c:pt idx="6">
                  <c:v>1.4586541840028031</c:v>
                </c:pt>
                <c:pt idx="7">
                  <c:v>1.6635645906961283</c:v>
                </c:pt>
                <c:pt idx="8">
                  <c:v>1.8433443392826052</c:v>
                </c:pt>
                <c:pt idx="9">
                  <c:v>1.9934631494713961</c:v>
                </c:pt>
                <c:pt idx="10">
                  <c:v>2.1116555370788976</c:v>
                </c:pt>
                <c:pt idx="11">
                  <c:v>2.1975514001942242</c:v>
                </c:pt>
                <c:pt idx="12">
                  <c:v>2.2522569878312049</c:v>
                </c:pt>
                <c:pt idx="13">
                  <c:v>2.2779449583514979</c:v>
                </c:pt>
                <c:pt idx="14">
                  <c:v>2.2774877024050877</c:v>
                </c:pt>
                <c:pt idx="15">
                  <c:v>2.2541501489263629</c:v>
                </c:pt>
                <c:pt idx="16">
                  <c:v>2.2113462227877156</c:v>
                </c:pt>
                <c:pt idx="17">
                  <c:v>2.1524557544878422</c:v>
                </c:pt>
                <c:pt idx="18">
                  <c:v>2.0806946853072112</c:v>
                </c:pt>
                <c:pt idx="19">
                  <c:v>1.9990297703752995</c:v>
                </c:pt>
                <c:pt idx="20">
                  <c:v>1.9101288033148704</c:v>
                </c:pt>
                <c:pt idx="21">
                  <c:v>1.816338049307896</c:v>
                </c:pt>
                <c:pt idx="22">
                  <c:v>1.7196796537968198</c:v>
                </c:pt>
                <c:pt idx="23">
                  <c:v>1.6218630173268609</c:v>
                </c:pt>
                <c:pt idx="24">
                  <c:v>1.5243053281108845</c:v>
                </c:pt>
                <c:pt idx="25">
                  <c:v>1.4281575328592326</c:v>
                </c:pt>
                <c:pt idx="26">
                  <c:v>1.3343329627545504</c:v>
                </c:pt>
                <c:pt idx="27">
                  <c:v>1.243536605330714</c:v>
                </c:pt>
                <c:pt idx="28">
                  <c:v>1.1562936322966388</c:v>
                </c:pt>
                <c:pt idx="29">
                  <c:v>1.0729762749638485</c:v>
                </c:pt>
                <c:pt idx="30">
                  <c:v>0.9938285034170381</c:v>
                </c:pt>
                <c:pt idx="31">
                  <c:v>0.91898823374085459</c:v>
                </c:pt>
                <c:pt idx="32">
                  <c:v>0.84850697880256665</c:v>
                </c:pt>
                <c:pt idx="33">
                  <c:v>0.78236698922910397</c:v>
                </c:pt>
                <c:pt idx="34">
                  <c:v>0.72049601658848716</c:v>
                </c:pt>
                <c:pt idx="35">
                  <c:v>0.66277988207200489</c:v>
                </c:pt>
                <c:pt idx="36">
                  <c:v>0.60907306049750609</c:v>
                </c:pt>
                <c:pt idx="37">
                  <c:v>0.5592074984979426</c:v>
                </c:pt>
                <c:pt idx="38">
                  <c:v>0.51299988289855436</c:v>
                </c:pt>
                <c:pt idx="39">
                  <c:v>0.47025756470715463</c:v>
                </c:pt>
                <c:pt idx="40">
                  <c:v>0.43078332892513332</c:v>
                </c:pt>
                <c:pt idx="41">
                  <c:v>0.39437918274699346</c:v>
                </c:pt>
                <c:pt idx="42">
                  <c:v>0.36084931620501826</c:v>
                </c:pt>
                <c:pt idx="43">
                  <c:v>0.33000237098258328</c:v>
                </c:pt>
                <c:pt idx="44">
                  <c:v>0.30165313564272672</c:v>
                </c:pt>
                <c:pt idx="45">
                  <c:v>0.27562376930386484</c:v>
                </c:pt>
                <c:pt idx="46">
                  <c:v>0.25174464105554317</c:v>
                </c:pt>
                <c:pt idx="47">
                  <c:v>0.22985485922207272</c:v>
                </c:pt>
                <c:pt idx="48">
                  <c:v>0.2098025529388379</c:v>
                </c:pt>
                <c:pt idx="49">
                  <c:v>0.19144495833494121</c:v>
                </c:pt>
                <c:pt idx="50">
                  <c:v>0.17464835281161301</c:v>
                </c:pt>
                <c:pt idx="51">
                  <c:v>0.15928787334527841</c:v>
                </c:pt>
                <c:pt idx="52">
                  <c:v>0.14524724829767699</c:v>
                </c:pt>
                <c:pt idx="53">
                  <c:v>0.13241846675380753</c:v>
                </c:pt>
                <c:pt idx="54">
                  <c:v>0.12070140480869324</c:v>
                </c:pt>
                <c:pt idx="55">
                  <c:v>0.11000342437178633</c:v>
                </c:pt>
                <c:pt idx="56">
                  <c:v>0.10023895684894776</c:v>
                </c:pt>
                <c:pt idx="57">
                  <c:v>9.1329081403324588E-2</c:v>
                </c:pt>
                <c:pt idx="58">
                  <c:v>8.3201105305422129E-2</c:v>
                </c:pt>
                <c:pt idx="59">
                  <c:v>7.5788152086950597E-2</c:v>
                </c:pt>
                <c:pt idx="60">
                  <c:v>6.9028761750090525E-2</c:v>
                </c:pt>
                <c:pt idx="61">
                  <c:v>6.2866506099151814E-2</c:v>
                </c:pt>
                <c:pt idx="62">
                  <c:v>5.7249621309309266E-2</c:v>
                </c:pt>
                <c:pt idx="63">
                  <c:v>5.2130659087422156E-2</c:v>
                </c:pt>
                <c:pt idx="64">
                  <c:v>4.74661571794762E-2</c:v>
                </c:pt>
                <c:pt idx="65">
                  <c:v>4.3216329509793878E-2</c:v>
                </c:pt>
                <c:pt idx="66">
                  <c:v>3.9344775875005643E-2</c:v>
                </c:pt>
                <c:pt idx="67">
                  <c:v>3.5818210841100123E-2</c:v>
                </c:pt>
                <c:pt idx="68">
                  <c:v>3.2606211288044827E-2</c:v>
                </c:pt>
                <c:pt idx="69">
                  <c:v>2.9680981899778663E-2</c:v>
                </c:pt>
                <c:pt idx="70">
                  <c:v>2.701713779645077E-2</c:v>
                </c:pt>
                <c:pt idx="71">
                  <c:v>2.4591503441160855E-2</c:v>
                </c:pt>
                <c:pt idx="72">
                  <c:v>2.2382926917522337E-2</c:v>
                </c:pt>
                <c:pt idx="73">
                  <c:v>2.0372108660677991E-2</c:v>
                </c:pt>
                <c:pt idx="74">
                  <c:v>1.8541443727957678E-2</c:v>
                </c:pt>
                <c:pt idx="75">
                  <c:v>1.6874876711799221E-2</c:v>
                </c:pt>
                <c:pt idx="76">
                  <c:v>1.535776842367483E-2</c:v>
                </c:pt>
                <c:pt idx="77">
                  <c:v>1.397677351073875E-2</c:v>
                </c:pt>
                <c:pt idx="78">
                  <c:v>1.271972820460587E-2</c:v>
                </c:pt>
                <c:pt idx="79">
                  <c:v>1.1575547442369409E-2</c:v>
                </c:pt>
                <c:pt idx="80">
                  <c:v>1.0534130642364402E-2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9-4218-8327-6FF77F6DD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82735"/>
        <c:axId val="23171215"/>
      </c:scatterChart>
      <c:valAx>
        <c:axId val="2318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171215"/>
        <c:crosses val="autoZero"/>
        <c:crossBetween val="midCat"/>
      </c:valAx>
      <c:valAx>
        <c:axId val="2317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18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Ej41_Heun!$C$2:$C$82</c:f>
              <c:numCache>
                <c:formatCode>General</c:formatCode>
                <c:ptCount val="81"/>
                <c:pt idx="0">
                  <c:v>1</c:v>
                </c:pt>
                <c:pt idx="1">
                  <c:v>2.5110198270983486</c:v>
                </c:pt>
                <c:pt idx="2">
                  <c:v>5.080963940552337</c:v>
                </c:pt>
                <c:pt idx="3">
                  <c:v>8.8791673054958302</c:v>
                </c:pt>
                <c:pt idx="4">
                  <c:v>13.974192019584766</c:v>
                </c:pt>
                <c:pt idx="5">
                  <c:v>20.346409734341101</c:v>
                </c:pt>
                <c:pt idx="6">
                  <c:v>27.907909693168683</c:v>
                </c:pt>
                <c:pt idx="7">
                  <c:v>36.523411422461152</c:v>
                </c:pt>
                <c:pt idx="8">
                  <c:v>46.029071007025976</c:v>
                </c:pt>
                <c:pt idx="9">
                  <c:v>56.247930567010314</c:v>
                </c:pt>
                <c:pt idx="10">
                  <c:v>67.001774688811579</c:v>
                </c:pt>
                <c:pt idx="11">
                  <c:v>78.119667668134895</c:v>
                </c:pt>
                <c:pt idx="12">
                  <c:v>89.443664881133273</c:v>
                </c:pt>
                <c:pt idx="13">
                  <c:v>100.83224978616417</c:v>
                </c:pt>
                <c:pt idx="14">
                  <c:v>112.16202218049716</c:v>
                </c:pt>
                <c:pt idx="15">
                  <c:v>123.32809858583016</c:v>
                </c:pt>
                <c:pt idx="16">
                  <c:v>134.24360768123296</c:v>
                </c:pt>
                <c:pt idx="17">
                  <c:v>144.83858640564847</c:v>
                </c:pt>
                <c:pt idx="18">
                  <c:v>155.05851254893247</c:v>
                </c:pt>
                <c:pt idx="19">
                  <c:v>164.86265009282494</c:v>
                </c:pt>
                <c:pt idx="20">
                  <c:v>174.22233472694438</c:v>
                </c:pt>
                <c:pt idx="21">
                  <c:v>183.1192881417671</c:v>
                </c:pt>
                <c:pt idx="22">
                  <c:v>191.54401964610238</c:v>
                </c:pt>
                <c:pt idx="23">
                  <c:v>199.49435096109087</c:v>
                </c:pt>
                <c:pt idx="24">
                  <c:v>206.9740833329148</c:v>
                </c:pt>
                <c:pt idx="25">
                  <c:v>213.9918141446318</c:v>
                </c:pt>
                <c:pt idx="26">
                  <c:v>220.55990193131703</c:v>
                </c:pt>
                <c:pt idx="27">
                  <c:v>226.6935732301348</c:v>
                </c:pt>
                <c:pt idx="28">
                  <c:v>232.41016131466469</c:v>
                </c:pt>
                <c:pt idx="29">
                  <c:v>237.72846500564336</c:v>
                </c:pt>
                <c:pt idx="30">
                  <c:v>242.66821497865828</c:v>
                </c:pt>
                <c:pt idx="31">
                  <c:v>247.24963496702395</c:v>
                </c:pt>
                <c:pt idx="32">
                  <c:v>251.49308573215117</c:v>
                </c:pt>
                <c:pt idx="33">
                  <c:v>255.41878045717374</c:v>
                </c:pt>
                <c:pt idx="34">
                  <c:v>259.04656117676581</c:v>
                </c:pt>
                <c:pt idx="35">
                  <c:v>262.39572689074765</c:v>
                </c:pt>
                <c:pt idx="36">
                  <c:v>265.48490505488923</c:v>
                </c:pt>
                <c:pt idx="37">
                  <c:v>268.33195915522322</c:v>
                </c:pt>
                <c:pt idx="38">
                  <c:v>270.95392602451301</c:v>
                </c:pt>
                <c:pt idx="39">
                  <c:v>273.3669774354683</c:v>
                </c:pt>
                <c:pt idx="40">
                  <c:v>275.58640129742776</c:v>
                </c:pt>
                <c:pt idx="41">
                  <c:v>277.6265984898759</c:v>
                </c:pt>
                <c:pt idx="42">
                  <c:v>279.50109198952157</c:v>
                </c:pt>
                <c:pt idx="43">
                  <c:v>281.22254549235635</c:v>
                </c:pt>
                <c:pt idx="44">
                  <c:v>282.80278920416379</c:v>
                </c:pt>
                <c:pt idx="45">
                  <c:v>284.25285087908605</c:v>
                </c:pt>
                <c:pt idx="46">
                  <c:v>285.582990532986</c:v>
                </c:pt>
                <c:pt idx="47">
                  <c:v>286.80273755324816</c:v>
                </c:pt>
                <c:pt idx="48">
                  <c:v>287.92092917576645</c:v>
                </c:pt>
                <c:pt idx="49">
                  <c:v>288.94574950912693</c:v>
                </c:pt>
                <c:pt idx="50">
                  <c:v>289.88476846082898</c:v>
                </c:pt>
                <c:pt idx="51">
                  <c:v>290.74498006566256</c:v>
                </c:pt>
                <c:pt idx="52">
                  <c:v>291.53283983639034</c:v>
                </c:pt>
                <c:pt idx="53">
                  <c:v>292.25430085546833</c:v>
                </c:pt>
                <c:pt idx="54">
                  <c:v>292.91484840698689</c:v>
                </c:pt>
                <c:pt idx="55">
                  <c:v>293.51953301319838</c:v>
                </c:pt>
                <c:pt idx="56">
                  <c:v>294.07300179238916</c:v>
                </c:pt>
                <c:pt idx="57">
                  <c:v>294.57952809657019</c:v>
                </c:pt>
                <c:pt idx="58">
                  <c:v>295.0430394203126</c:v>
                </c:pt>
                <c:pt idx="59">
                  <c:v>295.46714359757294</c:v>
                </c:pt>
                <c:pt idx="60">
                  <c:v>295.85515332284007</c:v>
                </c:pt>
                <c:pt idx="61">
                  <c:v>296.21010904748215</c:v>
                </c:pt>
                <c:pt idx="62">
                  <c:v>296.53480031270033</c:v>
                </c:pt>
                <c:pt idx="63">
                  <c:v>296.83178558776984</c:v>
                </c:pt>
                <c:pt idx="64">
                  <c:v>297.10341068691423</c:v>
                </c:pt>
                <c:pt idx="65">
                  <c:v>297.35182584074244</c:v>
                </c:pt>
                <c:pt idx="66">
                  <c:v>297.57900149912547</c:v>
                </c:pt>
                <c:pt idx="67">
                  <c:v>297.78674294205825</c:v>
                </c:pt>
                <c:pt idx="68">
                  <c:v>297.97670377374482</c:v>
                </c:pt>
                <c:pt idx="69">
                  <c:v>298.15039837310144</c:v>
                </c:pt>
                <c:pt idx="70">
                  <c:v>298.30921337129166</c:v>
                </c:pt>
                <c:pt idx="71">
                  <c:v>298.45441822394952</c:v>
                </c:pt>
                <c:pt idx="72">
                  <c:v>298.58717494253904</c:v>
                </c:pt>
                <c:pt idx="73">
                  <c:v>298.70854704594512</c:v>
                </c:pt>
                <c:pt idx="74">
                  <c:v>298.81950778996821</c:v>
                </c:pt>
                <c:pt idx="75">
                  <c:v>298.92094772897173</c:v>
                </c:pt>
                <c:pt idx="76">
                  <c:v>299.01368166055039</c:v>
                </c:pt>
                <c:pt idx="77">
                  <c:v>299.09845500078961</c:v>
                </c:pt>
                <c:pt idx="78">
                  <c:v>299.17594963449511</c:v>
                </c:pt>
                <c:pt idx="79">
                  <c:v>299.24678928170835</c:v>
                </c:pt>
                <c:pt idx="80">
                  <c:v>299.31154441890163</c:v>
                </c:pt>
              </c:numCache>
            </c:numRef>
          </c:xVal>
          <c:yVal>
            <c:numRef>
              <c:f>Ej41_Heun!$D$2:$D$82</c:f>
              <c:numCache>
                <c:formatCode>General</c:formatCode>
                <c:ptCount val="81"/>
                <c:pt idx="0">
                  <c:v>0.22791565757595736</c:v>
                </c:pt>
                <c:pt idx="1">
                  <c:v>0.41741859188099395</c:v>
                </c:pt>
                <c:pt idx="2">
                  <c:v>0.64901038580682235</c:v>
                </c:pt>
                <c:pt idx="3">
                  <c:v>0.90307367179870146</c:v>
                </c:pt>
                <c:pt idx="4">
                  <c:v>1.1609641542806171</c:v>
                </c:pt>
                <c:pt idx="5">
                  <c:v>1.407344620399535</c:v>
                </c:pt>
                <c:pt idx="6">
                  <c:v>1.6309207422703142</c:v>
                </c:pt>
                <c:pt idx="7">
                  <c:v>1.8243069979934483</c:v>
                </c:pt>
                <c:pt idx="8">
                  <c:v>1.9834837447540776</c:v>
                </c:pt>
                <c:pt idx="9">
                  <c:v>2.1071136622456224</c:v>
                </c:pt>
                <c:pt idx="10">
                  <c:v>2.1958626169437307</c:v>
                </c:pt>
                <c:pt idx="11">
                  <c:v>2.2517954608306816</c:v>
                </c:pt>
                <c:pt idx="12">
                  <c:v>2.2778740305941536</c:v>
                </c:pt>
                <c:pt idx="13">
                  <c:v>2.277560779829884</c:v>
                </c:pt>
                <c:pt idx="14">
                  <c:v>2.2545193787707674</c:v>
                </c:pt>
                <c:pt idx="15">
                  <c:v>2.212398410986518</c:v>
                </c:pt>
                <c:pt idx="16">
                  <c:v>2.1546829807840071</c:v>
                </c:pt>
                <c:pt idx="17">
                  <c:v>2.0845997872456055</c:v>
                </c:pt>
                <c:pt idx="18">
                  <c:v>2.0050629288142052</c:v>
                </c:pt>
                <c:pt idx="19">
                  <c:v>1.9186497454931684</c:v>
                </c:pt>
                <c:pt idx="20">
                  <c:v>1.827598037996788</c:v>
                </c:pt>
                <c:pt idx="21">
                  <c:v>1.7338178506842949</c:v>
                </c:pt>
                <c:pt idx="22">
                  <c:v>1.6389125954762251</c:v>
                </c:pt>
                <c:pt idx="23">
                  <c:v>1.5442056123049119</c:v>
                </c:pt>
                <c:pt idx="24">
                  <c:v>1.4507693235698222</c:v>
                </c:pt>
                <c:pt idx="25">
                  <c:v>1.3594549753675997</c:v>
                </c:pt>
                <c:pt idx="26">
                  <c:v>1.2709216015636557</c:v>
                </c:pt>
                <c:pt idx="27">
                  <c:v>1.1856633322780741</c:v>
                </c:pt>
                <c:pt idx="28">
                  <c:v>1.1040345272388534</c:v>
                </c:pt>
                <c:pt idx="29">
                  <c:v>1.0262724737249838</c:v>
                </c:pt>
                <c:pt idx="30">
                  <c:v>0.9525175711105206</c:v>
                </c:pt>
                <c:pt idx="31">
                  <c:v>0.88283104780959898</c:v>
                </c:pt>
                <c:pt idx="32">
                  <c:v>0.81721033650182762</c:v>
                </c:pt>
                <c:pt idx="33">
                  <c:v>0.75560228152333042</c:v>
                </c:pt>
                <c:pt idx="34">
                  <c:v>0.69791437725670169</c:v>
                </c:pt>
                <c:pt idx="35">
                  <c:v>0.64402424512995093</c:v>
                </c:pt>
                <c:pt idx="36">
                  <c:v>0.59378755462610611</c:v>
                </c:pt>
                <c:pt idx="37">
                  <c:v>0.54704458435986281</c:v>
                </c:pt>
                <c:pt idx="38">
                  <c:v>0.5036256056050552</c:v>
                </c:pt>
                <c:pt idx="39">
                  <c:v>0.46335525467023125</c:v>
                </c:pt>
                <c:pt idx="40">
                  <c:v>0.42605604362911159</c:v>
                </c:pt>
                <c:pt idx="41">
                  <c:v>0.39155114207667174</c:v>
                </c:pt>
                <c:pt idx="42">
                  <c:v>0.35966654642545554</c:v>
                </c:pt>
                <c:pt idx="43">
                  <c:v>0.33023273816302684</c:v>
                </c:pt>
                <c:pt idx="44">
                  <c:v>0.3030859186697934</c:v>
                </c:pt>
                <c:pt idx="45">
                  <c:v>0.27806889573478083</c:v>
                </c:pt>
                <c:pt idx="46">
                  <c:v>0.25503168581073815</c:v>
                </c:pt>
                <c:pt idx="47">
                  <c:v>0.23383188627092596</c:v>
                </c:pt>
                <c:pt idx="48">
                  <c:v>0.21433486338597546</c:v>
                </c:pt>
                <c:pt idx="49">
                  <c:v>0.19641379432994244</c:v>
                </c:pt>
                <c:pt idx="50">
                  <c:v>0.17994959514134562</c:v>
                </c:pt>
                <c:pt idx="51">
                  <c:v>0.16483076109772402</c:v>
                </c:pt>
                <c:pt idx="52">
                  <c:v>0.15095314130427651</c:v>
                </c:pt>
                <c:pt idx="53">
                  <c:v>0.13821966534850663</c:v>
                </c:pt>
                <c:pt idx="54">
                  <c:v>0.12654003654072929</c:v>
                </c:pt>
                <c:pt idx="55">
                  <c:v>0.11583040346142062</c:v>
                </c:pt>
                <c:pt idx="56">
                  <c:v>0.10601301919540827</c:v>
                </c:pt>
                <c:pt idx="57">
                  <c:v>9.7015895683857351E-2</c:v>
                </c:pt>
                <c:pt idx="58">
                  <c:v>8.8772459009221968E-2</c:v>
                </c:pt>
                <c:pt idx="59">
                  <c:v>8.1221210095438506E-2</c:v>
                </c:pt>
                <c:pt idx="60">
                  <c:v>7.4305394211241577E-2</c:v>
                </c:pt>
                <c:pt idx="61">
                  <c:v>6.7972681771146626E-2</c:v>
                </c:pt>
                <c:pt idx="62">
                  <c:v>6.2174862203347468E-2</c:v>
                </c:pt>
                <c:pt idx="63">
                  <c:v>5.6867552069347377E-2</c:v>
                </c:pt>
                <c:pt idx="64">
                  <c:v>5.2009918152485089E-2</c:v>
                </c:pt>
                <c:pt idx="65">
                  <c:v>4.7564415861946215E-2</c:v>
                </c:pt>
                <c:pt idx="66">
                  <c:v>4.3496543008455214E-2</c:v>
                </c:pt>
                <c:pt idx="67">
                  <c:v>3.9774608783191216E-2</c:v>
                </c:pt>
                <c:pt idx="68">
                  <c:v>3.6369517600943743E-2</c:v>
                </c:pt>
                <c:pt idx="69">
                  <c:v>3.3254567341899084E-2</c:v>
                </c:pt>
                <c:pt idx="70">
                  <c:v>3.0405261435440648E-2</c:v>
                </c:pt>
                <c:pt idx="71">
                  <c:v>2.7799134167143559E-2</c:v>
                </c:pt>
                <c:pt idx="72">
                  <c:v>2.541558855085908E-2</c:v>
                </c:pt>
                <c:pt idx="73">
                  <c:v>2.3235746086670429E-2</c:v>
                </c:pt>
                <c:pt idx="74">
                  <c:v>2.1242307718821754E-2</c:v>
                </c:pt>
                <c:pt idx="75">
                  <c:v>1.9419425311932602E-2</c:v>
                </c:pt>
                <c:pt idx="76">
                  <c:v>1.775258297669708E-2</c:v>
                </c:pt>
                <c:pt idx="77">
                  <c:v>1.6228487595298255E-2</c:v>
                </c:pt>
                <c:pt idx="78">
                  <c:v>1.4834967920433172E-2</c:v>
                </c:pt>
                <c:pt idx="79">
                  <c:v>1.356088164879469E-2</c:v>
                </c:pt>
                <c:pt idx="80">
                  <c:v>1.2396029898719648E-2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2D-4794-AFC6-16C791E10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83695"/>
        <c:axId val="23186575"/>
      </c:scatterChart>
      <c:valAx>
        <c:axId val="2318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186575"/>
        <c:crosses val="autoZero"/>
        <c:crossBetween val="midCat"/>
      </c:valAx>
      <c:valAx>
        <c:axId val="2318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18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187325</xdr:colOff>
      <xdr:row>9</xdr:row>
      <xdr:rowOff>6350</xdr:rowOff>
    </xdr:from>
    <xdr:to>
      <xdr:col>10</xdr:col>
      <xdr:colOff>187325</xdr:colOff>
      <xdr:row>23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5327EF-2F4A-65AC-4BE6-43759B4B2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387349</xdr:colOff>
      <xdr:row>2</xdr:row>
      <xdr:rowOff>57186</xdr:rowOff>
    </xdr:from>
    <xdr:to>
      <xdr:col>10</xdr:col>
      <xdr:colOff>616730</xdr:colOff>
      <xdr:row>9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BEA5D3-A929-BD43-E107-C0544A22B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349" y="425486"/>
          <a:ext cx="4801381" cy="1327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31750</xdr:colOff>
      <xdr:row>22</xdr:row>
      <xdr:rowOff>0</xdr:rowOff>
    </xdr:from>
    <xdr:to>
      <xdr:col>1</xdr:col>
      <xdr:colOff>723975</xdr:colOff>
      <xdr:row>25</xdr:row>
      <xdr:rowOff>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431A8F-0130-F429-2317-B2B9FE18C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" y="4051300"/>
          <a:ext cx="1454225" cy="552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727075</xdr:colOff>
      <xdr:row>1</xdr:row>
      <xdr:rowOff>165100</xdr:rowOff>
    </xdr:from>
    <xdr:to>
      <xdr:col>13</xdr:col>
      <xdr:colOff>727075</xdr:colOff>
      <xdr:row>16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B7D6B7-2E27-DCC0-EFB1-69392C4D0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149225</xdr:colOff>
      <xdr:row>16</xdr:row>
      <xdr:rowOff>152400</xdr:rowOff>
    </xdr:from>
    <xdr:to>
      <xdr:col>11</xdr:col>
      <xdr:colOff>149225</xdr:colOff>
      <xdr:row>31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F7A01E-80CD-553F-6978-A7B1D986F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711200</xdr:colOff>
      <xdr:row>6</xdr:row>
      <xdr:rowOff>64416</xdr:rowOff>
    </xdr:from>
    <xdr:to>
      <xdr:col>12</xdr:col>
      <xdr:colOff>641350</xdr:colOff>
      <xdr:row>15</xdr:row>
      <xdr:rowOff>101599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A5030A-585F-E3EE-1A74-A7882DE5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1169316"/>
          <a:ext cx="6026150" cy="1694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33</xdr:row>
      <xdr:rowOff>69850</xdr:rowOff>
    </xdr:from>
    <xdr:to>
      <xdr:col>9</xdr:col>
      <xdr:colOff>228712</xdr:colOff>
      <xdr:row>36</xdr:row>
      <xdr:rowOff>88929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EA9B640-CA85-A4CF-1E82-73EAB47F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14900" y="6146800"/>
          <a:ext cx="2171812" cy="5715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34925</xdr:colOff>
      <xdr:row>66</xdr:row>
      <xdr:rowOff>38100</xdr:rowOff>
    </xdr:from>
    <xdr:to>
      <xdr:col>14</xdr:col>
      <xdr:colOff>34925</xdr:colOff>
      <xdr:row>81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7B7E2B-A71C-03ED-B3AB-456F11937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9763-459A-46A1-90B2-D513ADADC2B1}">
  <dimension ref="A1:H34"/>
  <sheetViews>
    <sheetView tabSelected="1" topLeftCell="A16" workbookViewId="0">
      <selection activeCell="C24" sqref="C24"/>
    </sheetView>
  </sheetViews>
  <sheetFormatPr baseColWidth="10" defaultRowHeight="14.5" x14ac:dyDescent="0.35"/>
  <sheetData>
    <row r="1" spans="1:8" x14ac:dyDescent="0.35">
      <c r="A1" s="4" t="s">
        <v>1</v>
      </c>
      <c r="B1" s="4" t="s">
        <v>0</v>
      </c>
      <c r="C1" s="4" t="s">
        <v>5</v>
      </c>
      <c r="D1" s="4" t="s">
        <v>6</v>
      </c>
      <c r="H1">
        <v>1</v>
      </c>
    </row>
    <row r="2" spans="1:8" x14ac:dyDescent="0.35">
      <c r="A2">
        <v>0</v>
      </c>
      <c r="B2">
        <v>0</v>
      </c>
      <c r="C2">
        <v>0.5</v>
      </c>
      <c r="D2">
        <f>5*C2^(2/3) - 2*C2</f>
        <v>2.1498026247371831</v>
      </c>
    </row>
    <row r="3" spans="1:8" x14ac:dyDescent="0.35">
      <c r="A3">
        <v>1</v>
      </c>
      <c r="B3">
        <f>B2+$H$1</f>
        <v>1</v>
      </c>
      <c r="C3">
        <f>C2+$H$1*D2</f>
        <v>2.6498026247371831</v>
      </c>
      <c r="D3">
        <f>5*C3^(2/3) - 2*C3</f>
        <v>4.2748121106347146</v>
      </c>
    </row>
    <row r="4" spans="1:8" x14ac:dyDescent="0.35">
      <c r="A4">
        <v>2</v>
      </c>
      <c r="B4">
        <f>B3+$H$1</f>
        <v>2</v>
      </c>
      <c r="C4">
        <f>C3+$H$1*D3</f>
        <v>6.9246147353718976</v>
      </c>
      <c r="D4">
        <f>5*C4^(2/3) - 2*C4</f>
        <v>4.3157013423648305</v>
      </c>
    </row>
    <row r="5" spans="1:8" x14ac:dyDescent="0.35">
      <c r="A5">
        <v>3</v>
      </c>
      <c r="B5">
        <f>B4+$H$1</f>
        <v>3</v>
      </c>
      <c r="C5">
        <f>C4+$H$1*D4</f>
        <v>11.240316077736729</v>
      </c>
      <c r="D5">
        <f>5*C5^(2/3) - 2*C5</f>
        <v>2.6086953235985391</v>
      </c>
    </row>
    <row r="6" spans="1:8" x14ac:dyDescent="0.35">
      <c r="A6">
        <v>4</v>
      </c>
      <c r="B6">
        <f>B5+$H$1</f>
        <v>4</v>
      </c>
      <c r="C6">
        <f>C5+$H$1*D5</f>
        <v>13.849011401335268</v>
      </c>
      <c r="D6">
        <f>5*C6^(2/3) - 2*C6</f>
        <v>1.136704788044284</v>
      </c>
    </row>
    <row r="7" spans="1:8" x14ac:dyDescent="0.35">
      <c r="A7">
        <v>5</v>
      </c>
      <c r="B7">
        <f>B6+$H$1</f>
        <v>5</v>
      </c>
      <c r="C7">
        <f>C6+$H$1*D6</f>
        <v>14.985716189379552</v>
      </c>
      <c r="D7">
        <f>5*C7^(2/3) - 2*C7</f>
        <v>0.42026852900464817</v>
      </c>
    </row>
    <row r="8" spans="1:8" x14ac:dyDescent="0.35">
      <c r="A8">
        <v>6</v>
      </c>
      <c r="B8">
        <f t="shared" ref="B8:B14" si="0">B7+$H$1</f>
        <v>6</v>
      </c>
      <c r="C8">
        <f t="shared" ref="C8:C14" si="1">C7+$H$1*D7</f>
        <v>15.4059847183842</v>
      </c>
      <c r="D8">
        <f t="shared" ref="D8:D14" si="2">5*C8^(2/3) - 2*C8</f>
        <v>0.14532369547527324</v>
      </c>
    </row>
    <row r="9" spans="1:8" x14ac:dyDescent="0.35">
      <c r="A9">
        <v>7</v>
      </c>
      <c r="B9">
        <f t="shared" si="0"/>
        <v>7</v>
      </c>
      <c r="C9">
        <f t="shared" si="1"/>
        <v>15.551308413859473</v>
      </c>
      <c r="D9">
        <f t="shared" si="2"/>
        <v>4.9050328692622713E-2</v>
      </c>
    </row>
    <row r="10" spans="1:8" x14ac:dyDescent="0.35">
      <c r="A10">
        <v>8</v>
      </c>
      <c r="B10">
        <f t="shared" si="0"/>
        <v>8</v>
      </c>
      <c r="C10">
        <f t="shared" si="1"/>
        <v>15.600358742552096</v>
      </c>
      <c r="D10">
        <f t="shared" si="2"/>
        <v>1.6418863293516495E-2</v>
      </c>
    </row>
    <row r="11" spans="1:8" x14ac:dyDescent="0.35">
      <c r="A11">
        <v>9</v>
      </c>
      <c r="B11">
        <f t="shared" si="0"/>
        <v>9</v>
      </c>
      <c r="C11">
        <f t="shared" si="1"/>
        <v>15.616777605845613</v>
      </c>
      <c r="D11">
        <f t="shared" si="2"/>
        <v>5.4806343452966644E-3</v>
      </c>
    </row>
    <row r="12" spans="1:8" x14ac:dyDescent="0.35">
      <c r="A12">
        <v>10</v>
      </c>
      <c r="B12">
        <f t="shared" si="0"/>
        <v>10</v>
      </c>
      <c r="C12">
        <f t="shared" si="1"/>
        <v>15.622258240190909</v>
      </c>
      <c r="D12">
        <f t="shared" si="2"/>
        <v>1.8277329524352126E-3</v>
      </c>
    </row>
    <row r="13" spans="1:8" x14ac:dyDescent="0.35">
      <c r="A13">
        <v>11</v>
      </c>
      <c r="B13">
        <f t="shared" si="0"/>
        <v>11</v>
      </c>
      <c r="C13">
        <f t="shared" si="1"/>
        <v>15.624085973143345</v>
      </c>
      <c r="D13">
        <f t="shared" si="2"/>
        <v>6.0933935557727636E-4</v>
      </c>
    </row>
    <row r="14" spans="1:8" x14ac:dyDescent="0.35">
      <c r="A14">
        <v>12</v>
      </c>
      <c r="B14">
        <f t="shared" si="0"/>
        <v>12</v>
      </c>
      <c r="C14">
        <f t="shared" si="1"/>
        <v>15.624695312498922</v>
      </c>
      <c r="D14">
        <f t="shared" si="2"/>
        <v>2.0312368038588602E-4</v>
      </c>
    </row>
    <row r="15" spans="1:8" x14ac:dyDescent="0.35">
      <c r="A15">
        <v>13</v>
      </c>
      <c r="B15">
        <f>B14+$H$1</f>
        <v>13</v>
      </c>
      <c r="C15">
        <f>C14+$H$1*D14</f>
        <v>15.624898436179308</v>
      </c>
      <c r="D15">
        <f>5*C15^(2/3) - 2*C15</f>
        <v>6.7709067081977992E-5</v>
      </c>
    </row>
    <row r="16" spans="1:8" x14ac:dyDescent="0.35">
      <c r="A16">
        <v>14</v>
      </c>
      <c r="B16">
        <f>B15+$H$1</f>
        <v>14</v>
      </c>
      <c r="C16">
        <f>C15+$H$1*D15</f>
        <v>15.62496614524639</v>
      </c>
      <c r="D16">
        <f>5*C16^(2/3) - 2*C16</f>
        <v>2.2569819432050053E-5</v>
      </c>
    </row>
    <row r="17" spans="1:4" x14ac:dyDescent="0.35">
      <c r="A17">
        <v>15</v>
      </c>
      <c r="B17">
        <f t="shared" ref="B17:B19" si="3">B16+$H$1</f>
        <v>15</v>
      </c>
      <c r="C17">
        <f t="shared" ref="C17:C19" si="4">C16+$H$1*D16</f>
        <v>15.624988715065822</v>
      </c>
      <c r="D17">
        <f t="shared" ref="D17:D19" si="5">5*C17^(2/3) - 2*C17</f>
        <v>7.5232876426412076E-6</v>
      </c>
    </row>
    <row r="18" spans="1:4" x14ac:dyDescent="0.35">
      <c r="A18">
        <v>16</v>
      </c>
      <c r="B18">
        <f t="shared" si="3"/>
        <v>16</v>
      </c>
      <c r="C18">
        <f t="shared" si="4"/>
        <v>15.624996238353464</v>
      </c>
      <c r="D18">
        <f t="shared" si="5"/>
        <v>2.5077641581106036E-6</v>
      </c>
    </row>
    <row r="19" spans="1:4" x14ac:dyDescent="0.35">
      <c r="A19">
        <v>17</v>
      </c>
      <c r="B19">
        <f t="shared" si="3"/>
        <v>17</v>
      </c>
      <c r="C19" s="1">
        <f t="shared" si="4"/>
        <v>15.624998746117623</v>
      </c>
      <c r="D19">
        <f t="shared" si="5"/>
        <v>8.3592156130407602E-7</v>
      </c>
    </row>
    <row r="22" spans="1:4" x14ac:dyDescent="0.35">
      <c r="A22" t="s">
        <v>24</v>
      </c>
    </row>
    <row r="27" spans="1:4" x14ac:dyDescent="0.35">
      <c r="A27" s="8" t="s">
        <v>14</v>
      </c>
      <c r="B27" s="8" t="s">
        <v>17</v>
      </c>
    </row>
    <row r="28" spans="1:4" x14ac:dyDescent="0.35">
      <c r="A28" s="11">
        <v>0</v>
      </c>
      <c r="B28" s="11">
        <v>0.5</v>
      </c>
    </row>
    <row r="29" spans="1:4" x14ac:dyDescent="0.35">
      <c r="A29" s="11">
        <v>10</v>
      </c>
      <c r="B29" s="11" t="s">
        <v>18</v>
      </c>
    </row>
    <row r="30" spans="1:4" x14ac:dyDescent="0.35">
      <c r="A30" s="11">
        <v>20</v>
      </c>
      <c r="B30" s="11" t="s">
        <v>19</v>
      </c>
    </row>
    <row r="31" spans="1:4" x14ac:dyDescent="0.35">
      <c r="A31" s="11">
        <v>40</v>
      </c>
      <c r="B31" s="11" t="s">
        <v>20</v>
      </c>
    </row>
    <row r="32" spans="1:4" x14ac:dyDescent="0.35">
      <c r="A32" s="11">
        <v>60</v>
      </c>
      <c r="B32" s="11" t="s">
        <v>21</v>
      </c>
    </row>
    <row r="33" spans="1:2" x14ac:dyDescent="0.35">
      <c r="A33" s="11">
        <v>80</v>
      </c>
      <c r="B33" s="11" t="s">
        <v>22</v>
      </c>
    </row>
    <row r="34" spans="1:2" x14ac:dyDescent="0.35">
      <c r="A34" s="11">
        <v>120</v>
      </c>
      <c r="B34" s="12" t="s">
        <v>23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9EE3-5A65-4410-B987-A38A422B43BD}">
  <dimension ref="A1:H17"/>
  <sheetViews>
    <sheetView workbookViewId="0">
      <selection activeCell="C19" sqref="C19"/>
    </sheetView>
  </sheetViews>
  <sheetFormatPr baseColWidth="10" defaultRowHeight="14.5" x14ac:dyDescent="0.35"/>
  <sheetData>
    <row r="1" spans="1:8" x14ac:dyDescent="0.35">
      <c r="A1" s="4" t="s">
        <v>1</v>
      </c>
      <c r="B1" s="4" t="s">
        <v>0</v>
      </c>
      <c r="C1" s="4" t="s">
        <v>7</v>
      </c>
      <c r="D1" s="4" t="s">
        <v>6</v>
      </c>
      <c r="E1" s="4" t="s">
        <v>8</v>
      </c>
      <c r="F1" s="4" t="s">
        <v>9</v>
      </c>
      <c r="G1" s="4" t="s">
        <v>10</v>
      </c>
      <c r="H1">
        <v>1</v>
      </c>
    </row>
    <row r="2" spans="1:8" x14ac:dyDescent="0.35">
      <c r="A2">
        <v>0</v>
      </c>
      <c r="B2">
        <v>0</v>
      </c>
      <c r="C2">
        <v>0.5</v>
      </c>
      <c r="D2">
        <f>5*C2^(2/3)-2*C2</f>
        <v>2.1498026247371831</v>
      </c>
      <c r="E2">
        <f>C2+$H$1*D2</f>
        <v>2.6498026247371831</v>
      </c>
      <c r="F2">
        <f>5*E2^(2/3)-2*E2</f>
        <v>4.2748121106347146</v>
      </c>
      <c r="G2">
        <f>C2+$H$1*(D2+F2)/2</f>
        <v>3.7123073676859488</v>
      </c>
    </row>
    <row r="3" spans="1:8" x14ac:dyDescent="0.35">
      <c r="A3">
        <v>1</v>
      </c>
      <c r="B3">
        <f>B2+$H$1</f>
        <v>1</v>
      </c>
      <c r="C3">
        <f>G2</f>
        <v>3.7123073676859488</v>
      </c>
      <c r="D3">
        <f>5*C3^(2/3)-2*C3</f>
        <v>4.5629957389597058</v>
      </c>
      <c r="E3">
        <f>C3+$H$1*D3</f>
        <v>8.275303106645655</v>
      </c>
      <c r="F3">
        <f>5*E3^(2/3)-2*E3</f>
        <v>3.9056400983694886</v>
      </c>
      <c r="G3">
        <f>C3+$H$1*(D3+F3)/2</f>
        <v>7.946625286350546</v>
      </c>
    </row>
    <row r="4" spans="1:8" x14ac:dyDescent="0.35">
      <c r="A4">
        <v>2</v>
      </c>
      <c r="B4">
        <f>B3+$H$1</f>
        <v>2</v>
      </c>
      <c r="C4">
        <f>G3</f>
        <v>7.946625286350546</v>
      </c>
      <c r="D4">
        <f>5*C4^(2/3)-2*C4</f>
        <v>4.0176923579978201</v>
      </c>
      <c r="E4">
        <f>C4+$H$1*D4</f>
        <v>11.964317644348366</v>
      </c>
      <c r="F4">
        <f>5*E4^(2/3)-2*E4</f>
        <v>2.2268005242771807</v>
      </c>
      <c r="G4">
        <f>C4+$H$1*(D4+F4)/2</f>
        <v>11.068871727488046</v>
      </c>
    </row>
    <row r="5" spans="1:8" x14ac:dyDescent="0.35">
      <c r="A5">
        <v>3</v>
      </c>
      <c r="B5">
        <f>B4+$H$1</f>
        <v>3</v>
      </c>
      <c r="C5">
        <f>G4</f>
        <v>11.068871727488046</v>
      </c>
      <c r="D5">
        <f>5*C5^(2/3)-2*C5</f>
        <v>2.6958122778308251</v>
      </c>
      <c r="E5">
        <f>C5+$H$1*D5</f>
        <v>13.764684005318871</v>
      </c>
      <c r="F5">
        <f>5*E5^(2/3)-2*E5</f>
        <v>1.1881896357438464</v>
      </c>
      <c r="G5">
        <f>C5+$H$1*(D5+F5)/2</f>
        <v>13.010872684275382</v>
      </c>
    </row>
    <row r="6" spans="1:8" x14ac:dyDescent="0.35">
      <c r="A6">
        <v>4</v>
      </c>
      <c r="B6">
        <f>B5+$H$1</f>
        <v>4</v>
      </c>
      <c r="C6">
        <f>G5</f>
        <v>13.010872684275382</v>
      </c>
      <c r="D6">
        <f>5*C6^(2/3)-2*C6</f>
        <v>1.6375400451743189</v>
      </c>
      <c r="E6">
        <f>C6+$H$1*D6</f>
        <v>14.648412729449701</v>
      </c>
      <c r="F6">
        <f>5*E6^(2/3)-2*E6</f>
        <v>0.63710299835298301</v>
      </c>
      <c r="G6">
        <f>C6+$H$1*(D6+F6)/2</f>
        <v>14.148194206039033</v>
      </c>
    </row>
    <row r="7" spans="1:8" x14ac:dyDescent="0.35">
      <c r="A7">
        <v>5</v>
      </c>
      <c r="B7">
        <f>B6+$H$1</f>
        <v>5</v>
      </c>
      <c r="C7">
        <f>G6</f>
        <v>14.148194206039033</v>
      </c>
      <c r="D7">
        <f>5*C7^(2/3)-2*C7</f>
        <v>0.95213949454022284</v>
      </c>
      <c r="E7">
        <f>C7+$H$1*D7</f>
        <v>15.100333700579256</v>
      </c>
      <c r="F7">
        <f>5*E7^(2/3)-2*E7</f>
        <v>0.34580291681249875</v>
      </c>
      <c r="G7">
        <f>C7+$H$1*(D7+F7)/2</f>
        <v>14.797165411715394</v>
      </c>
    </row>
    <row r="8" spans="1:8" x14ac:dyDescent="0.35">
      <c r="A8">
        <v>6</v>
      </c>
      <c r="B8">
        <f t="shared" ref="B8:B13" si="0">B7+$H$1</f>
        <v>6</v>
      </c>
      <c r="C8">
        <f t="shared" ref="C8:C13" si="1">G7</f>
        <v>14.797165411715394</v>
      </c>
      <c r="D8">
        <f t="shared" ref="D8:D13" si="2">5*C8^(2/3)-2*C8</f>
        <v>0.54190623245436598</v>
      </c>
      <c r="E8">
        <f t="shared" ref="E8:E13" si="3">C8+$H$1*D8</f>
        <v>15.33907164416976</v>
      </c>
      <c r="F8">
        <f t="shared" ref="F8:F13" si="4">5*E8^(2/3)-2*E8</f>
        <v>0.18944660692951132</v>
      </c>
      <c r="G8">
        <f t="shared" ref="G8:G13" si="5">C8+$H$1*(D8+F8)/2</f>
        <v>15.162841831407333</v>
      </c>
    </row>
    <row r="9" spans="1:8" x14ac:dyDescent="0.35">
      <c r="A9">
        <v>7</v>
      </c>
      <c r="B9">
        <f t="shared" si="0"/>
        <v>7</v>
      </c>
      <c r="C9">
        <f t="shared" si="1"/>
        <v>15.162841831407333</v>
      </c>
      <c r="D9">
        <f t="shared" si="2"/>
        <v>0.30502708248662813</v>
      </c>
      <c r="E9">
        <f t="shared" si="3"/>
        <v>15.467868913893961</v>
      </c>
      <c r="F9">
        <f t="shared" si="4"/>
        <v>0.10440132947003633</v>
      </c>
      <c r="G9">
        <f t="shared" si="5"/>
        <v>15.367556037385665</v>
      </c>
    </row>
    <row r="10" spans="1:8" x14ac:dyDescent="0.35">
      <c r="A10">
        <v>8</v>
      </c>
      <c r="B10">
        <f t="shared" si="0"/>
        <v>8</v>
      </c>
      <c r="C10">
        <f t="shared" si="1"/>
        <v>15.367556037385665</v>
      </c>
      <c r="D10">
        <f t="shared" si="2"/>
        <v>0.17067972689981303</v>
      </c>
      <c r="E10">
        <f t="shared" si="3"/>
        <v>15.538235764285478</v>
      </c>
      <c r="F10">
        <f t="shared" si="4"/>
        <v>5.77354933650156E-2</v>
      </c>
      <c r="G10">
        <f t="shared" si="5"/>
        <v>15.481763647518079</v>
      </c>
    </row>
    <row r="11" spans="1:8" x14ac:dyDescent="0.35">
      <c r="A11">
        <v>9</v>
      </c>
      <c r="B11">
        <f t="shared" si="0"/>
        <v>9</v>
      </c>
      <c r="C11">
        <f t="shared" si="1"/>
        <v>15.481763647518079</v>
      </c>
      <c r="D11">
        <f t="shared" si="2"/>
        <v>9.5197914021134977E-2</v>
      </c>
      <c r="E11">
        <f t="shared" si="3"/>
        <v>15.576961561539214</v>
      </c>
      <c r="F11">
        <f t="shared" si="4"/>
        <v>3.1992760210791005E-2</v>
      </c>
      <c r="G11">
        <f t="shared" si="5"/>
        <v>15.545358984634042</v>
      </c>
    </row>
    <row r="12" spans="1:8" x14ac:dyDescent="0.35">
      <c r="A12">
        <v>10</v>
      </c>
      <c r="B12">
        <f t="shared" si="0"/>
        <v>10</v>
      </c>
      <c r="C12">
        <f t="shared" si="1"/>
        <v>15.545358984634042</v>
      </c>
      <c r="D12">
        <f t="shared" si="2"/>
        <v>5.3003598118444017E-2</v>
      </c>
      <c r="E12">
        <f t="shared" si="3"/>
        <v>15.598362582752486</v>
      </c>
      <c r="F12">
        <f t="shared" si="4"/>
        <v>1.774817910508375E-2</v>
      </c>
      <c r="G12">
        <f t="shared" si="5"/>
        <v>15.580734873245806</v>
      </c>
    </row>
    <row r="13" spans="1:8" x14ac:dyDescent="0.35">
      <c r="A13">
        <v>11</v>
      </c>
      <c r="B13">
        <f t="shared" si="0"/>
        <v>11</v>
      </c>
      <c r="C13">
        <f t="shared" si="1"/>
        <v>15.580734873245806</v>
      </c>
      <c r="D13">
        <f t="shared" si="2"/>
        <v>2.9482182314595207E-2</v>
      </c>
      <c r="E13">
        <f t="shared" si="3"/>
        <v>15.610217055560401</v>
      </c>
      <c r="F13">
        <f t="shared" si="4"/>
        <v>9.8521869257446326E-3</v>
      </c>
      <c r="G13">
        <f t="shared" si="5"/>
        <v>15.600402057865976</v>
      </c>
    </row>
    <row r="14" spans="1:8" x14ac:dyDescent="0.35">
      <c r="A14">
        <v>12</v>
      </c>
      <c r="B14">
        <f>B13+$H$1</f>
        <v>12</v>
      </c>
      <c r="C14">
        <f>G13</f>
        <v>15.600402057865976</v>
      </c>
      <c r="D14">
        <f>5*C14^(2/3)-2*C14</f>
        <v>1.6390016782811045E-2</v>
      </c>
      <c r="E14">
        <f>C14+$H$1*D14</f>
        <v>15.616792074648787</v>
      </c>
      <c r="F14">
        <f>5*E14^(2/3)-2*E14</f>
        <v>5.470991858704366E-3</v>
      </c>
      <c r="G14">
        <f>C14+$H$1*(D14+F14)/2</f>
        <v>15.611332562186734</v>
      </c>
    </row>
    <row r="15" spans="1:8" x14ac:dyDescent="0.35">
      <c r="A15">
        <v>13</v>
      </c>
      <c r="B15">
        <f>B14+$H$1</f>
        <v>13</v>
      </c>
      <c r="C15">
        <f>G14</f>
        <v>15.611332562186734</v>
      </c>
      <c r="D15">
        <f>5*C15^(2/3)-2*C15</f>
        <v>9.1089674806461574E-3</v>
      </c>
      <c r="E15">
        <f>C15+$H$1*D15</f>
        <v>15.62044152966738</v>
      </c>
      <c r="F15">
        <f>5*E15^(2/3)-2*E15</f>
        <v>3.0386846505905396E-3</v>
      </c>
      <c r="G15">
        <f>C15+$H$1*(D15+F15)/2</f>
        <v>15.617406388252352</v>
      </c>
    </row>
    <row r="16" spans="1:8" x14ac:dyDescent="0.35">
      <c r="A16">
        <v>14</v>
      </c>
      <c r="B16">
        <f t="shared" ref="B16:B17" si="6">B15+$H$1</f>
        <v>14</v>
      </c>
      <c r="C16">
        <f t="shared" ref="C16:C17" si="7">G15</f>
        <v>15.617406388252352</v>
      </c>
      <c r="D16">
        <f t="shared" ref="D16:D17" si="8">5*C16^(2/3)-2*C16</f>
        <v>5.0615875594317572E-3</v>
      </c>
      <c r="E16">
        <f t="shared" ref="E16:E17" si="9">C16+$H$1*D16</f>
        <v>15.622467975811784</v>
      </c>
      <c r="F16">
        <f t="shared" ref="F16:F17" si="10">5*E16^(2/3)-2*E16</f>
        <v>1.6879249381567263E-3</v>
      </c>
      <c r="G16">
        <f t="shared" ref="G16:G17" si="11">C16+$H$1*(D16+F16)/2</f>
        <v>15.620781144501146</v>
      </c>
    </row>
    <row r="17" spans="1:7" x14ac:dyDescent="0.35">
      <c r="A17">
        <v>15</v>
      </c>
      <c r="B17">
        <f t="shared" si="6"/>
        <v>15</v>
      </c>
      <c r="C17" s="1">
        <f t="shared" si="7"/>
        <v>15.620781144501146</v>
      </c>
      <c r="D17">
        <f t="shared" si="8"/>
        <v>2.8123171645226819E-3</v>
      </c>
      <c r="E17" s="1">
        <f t="shared" si="9"/>
        <v>15.623593461665669</v>
      </c>
      <c r="F17">
        <f t="shared" si="10"/>
        <v>9.3766408522455436E-4</v>
      </c>
      <c r="G17">
        <f t="shared" si="11"/>
        <v>15.62265613512602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13DD-4031-4FEA-8DA3-B670EAF1915E}">
  <dimension ref="A1:I82"/>
  <sheetViews>
    <sheetView topLeftCell="A34" workbookViewId="0">
      <selection activeCell="H48" sqref="H48:I48"/>
    </sheetView>
  </sheetViews>
  <sheetFormatPr baseColWidth="10" defaultRowHeight="14.5" x14ac:dyDescent="0.35"/>
  <sheetData>
    <row r="1" spans="1:8" x14ac:dyDescent="0.35">
      <c r="A1" s="3" t="s">
        <v>1</v>
      </c>
      <c r="B1" s="3" t="s">
        <v>0</v>
      </c>
      <c r="C1" s="3" t="s">
        <v>2</v>
      </c>
      <c r="D1" s="3" t="s">
        <v>11</v>
      </c>
    </row>
    <row r="2" spans="1:8" x14ac:dyDescent="0.35">
      <c r="A2">
        <v>0</v>
      </c>
      <c r="B2">
        <v>0</v>
      </c>
      <c r="C2">
        <v>1</v>
      </c>
      <c r="D2">
        <f>0.3*C2^(3/4)*(1-(C2/300)^(1/4))</f>
        <v>0.22791565757595736</v>
      </c>
      <c r="H2">
        <v>5</v>
      </c>
    </row>
    <row r="3" spans="1:8" x14ac:dyDescent="0.35">
      <c r="A3">
        <v>1</v>
      </c>
      <c r="B3">
        <f>B2+$H$2</f>
        <v>5</v>
      </c>
      <c r="C3">
        <f>C2+$H$2*D2</f>
        <v>2.1395782878797869</v>
      </c>
      <c r="D3">
        <f>0.3*C3^(3/4)*(1-(C3/300)^(1/4))</f>
        <v>0.37649227326338208</v>
      </c>
    </row>
    <row r="4" spans="1:8" x14ac:dyDescent="0.35">
      <c r="A4">
        <v>2</v>
      </c>
      <c r="B4">
        <f>B3+$H$2</f>
        <v>10</v>
      </c>
      <c r="C4">
        <f>C3+$H$2*D3</f>
        <v>4.0220396541966972</v>
      </c>
      <c r="D4">
        <f>0.3*C4^(3/4)*(1-(C4/300)^(1/4))</f>
        <v>0.56210613173057378</v>
      </c>
    </row>
    <row r="5" spans="1:8" x14ac:dyDescent="0.35">
      <c r="A5">
        <v>3</v>
      </c>
      <c r="B5">
        <f>B4+$H$2</f>
        <v>15</v>
      </c>
      <c r="C5">
        <f>C4+$H$2*D4</f>
        <v>6.8325703128495663</v>
      </c>
      <c r="D5">
        <f>0.3*C5^(3/4)*(1-(C5/300)^(1/4))</f>
        <v>0.77530373683849729</v>
      </c>
    </row>
    <row r="6" spans="1:8" x14ac:dyDescent="0.35">
      <c r="A6">
        <v>4</v>
      </c>
      <c r="B6">
        <f>B5+$H$2</f>
        <v>20</v>
      </c>
      <c r="C6">
        <f>C5+$H$2*D5</f>
        <v>10.709088997042052</v>
      </c>
      <c r="D6">
        <f>0.3*C6^(3/4)*(1-(C6/300)^(1/4))</f>
        <v>1.0040124647731923</v>
      </c>
    </row>
    <row r="7" spans="1:8" x14ac:dyDescent="0.35">
      <c r="A7">
        <v>5</v>
      </c>
      <c r="B7">
        <f>B6+$H$2</f>
        <v>25</v>
      </c>
      <c r="C7">
        <f>C6+$H$2*D6</f>
        <v>15.729151320908013</v>
      </c>
      <c r="D7">
        <f>0.3*C7^(3/4)*(1-(C7/300)^(1/4))</f>
        <v>1.235639058908294</v>
      </c>
    </row>
    <row r="8" spans="1:8" x14ac:dyDescent="0.35">
      <c r="A8">
        <v>6</v>
      </c>
      <c r="B8">
        <f t="shared" ref="B8:B18" si="0">B7+$H$2</f>
        <v>30</v>
      </c>
      <c r="C8">
        <f t="shared" ref="C8:C18" si="1">C7+$H$2*D7</f>
        <v>21.907346615449484</v>
      </c>
      <c r="D8">
        <f t="shared" ref="D8:D18" si="2">0.3*C8^(3/4)*(1-(C8/300)^(1/4))</f>
        <v>1.4586541840028031</v>
      </c>
    </row>
    <row r="9" spans="1:8" x14ac:dyDescent="0.35">
      <c r="A9">
        <v>7</v>
      </c>
      <c r="B9">
        <f t="shared" si="0"/>
        <v>35</v>
      </c>
      <c r="C9">
        <f t="shared" si="1"/>
        <v>29.2006175354635</v>
      </c>
      <c r="D9">
        <f t="shared" si="2"/>
        <v>1.6635645906961283</v>
      </c>
    </row>
    <row r="10" spans="1:8" x14ac:dyDescent="0.35">
      <c r="A10">
        <v>8</v>
      </c>
      <c r="B10">
        <f t="shared" si="0"/>
        <v>40</v>
      </c>
      <c r="C10">
        <f t="shared" si="1"/>
        <v>37.518440488944144</v>
      </c>
      <c r="D10">
        <f t="shared" si="2"/>
        <v>1.8433443392826052</v>
      </c>
    </row>
    <row r="11" spans="1:8" x14ac:dyDescent="0.35">
      <c r="A11">
        <v>9</v>
      </c>
      <c r="B11">
        <f t="shared" si="0"/>
        <v>45</v>
      </c>
      <c r="C11">
        <f t="shared" si="1"/>
        <v>46.735162185357169</v>
      </c>
      <c r="D11">
        <f t="shared" si="2"/>
        <v>1.9934631494713961</v>
      </c>
    </row>
    <row r="12" spans="1:8" x14ac:dyDescent="0.35">
      <c r="A12">
        <v>10</v>
      </c>
      <c r="B12">
        <f t="shared" si="0"/>
        <v>50</v>
      </c>
      <c r="C12">
        <f t="shared" si="1"/>
        <v>56.702477932714146</v>
      </c>
      <c r="D12">
        <f t="shared" si="2"/>
        <v>2.1116555370788976</v>
      </c>
    </row>
    <row r="13" spans="1:8" x14ac:dyDescent="0.35">
      <c r="A13">
        <v>11</v>
      </c>
      <c r="B13">
        <f t="shared" si="0"/>
        <v>55</v>
      </c>
      <c r="C13">
        <f t="shared" si="1"/>
        <v>67.260755618108632</v>
      </c>
      <c r="D13">
        <f t="shared" si="2"/>
        <v>2.1975514001942242</v>
      </c>
    </row>
    <row r="14" spans="1:8" x14ac:dyDescent="0.35">
      <c r="A14">
        <v>12</v>
      </c>
      <c r="B14">
        <f t="shared" si="0"/>
        <v>60</v>
      </c>
      <c r="C14">
        <f t="shared" si="1"/>
        <v>78.248512619079747</v>
      </c>
      <c r="D14">
        <f t="shared" si="2"/>
        <v>2.2522569878312049</v>
      </c>
    </row>
    <row r="15" spans="1:8" x14ac:dyDescent="0.35">
      <c r="A15">
        <v>13</v>
      </c>
      <c r="B15">
        <f t="shared" si="0"/>
        <v>65</v>
      </c>
      <c r="C15">
        <f t="shared" si="1"/>
        <v>89.509797558235775</v>
      </c>
      <c r="D15">
        <f t="shared" si="2"/>
        <v>2.2779449583514979</v>
      </c>
    </row>
    <row r="16" spans="1:8" x14ac:dyDescent="0.35">
      <c r="A16">
        <v>14</v>
      </c>
      <c r="B16">
        <f t="shared" si="0"/>
        <v>70</v>
      </c>
      <c r="C16">
        <f t="shared" si="1"/>
        <v>100.89952234999326</v>
      </c>
      <c r="D16">
        <f t="shared" si="2"/>
        <v>2.2774877024050877</v>
      </c>
    </row>
    <row r="17" spans="1:4" x14ac:dyDescent="0.35">
      <c r="A17">
        <v>15</v>
      </c>
      <c r="B17">
        <f t="shared" si="0"/>
        <v>75</v>
      </c>
      <c r="C17">
        <f t="shared" si="1"/>
        <v>112.2869608620187</v>
      </c>
      <c r="D17">
        <f t="shared" si="2"/>
        <v>2.2541501489263629</v>
      </c>
    </row>
    <row r="18" spans="1:4" x14ac:dyDescent="0.35">
      <c r="A18">
        <v>16</v>
      </c>
      <c r="B18">
        <f t="shared" si="0"/>
        <v>80</v>
      </c>
      <c r="C18">
        <f t="shared" si="1"/>
        <v>123.55771160665051</v>
      </c>
      <c r="D18">
        <f t="shared" si="2"/>
        <v>2.2113462227877156</v>
      </c>
    </row>
    <row r="19" spans="1:4" x14ac:dyDescent="0.35">
      <c r="A19">
        <v>17</v>
      </c>
      <c r="B19">
        <f>B18+$H$2</f>
        <v>85</v>
      </c>
      <c r="C19">
        <f>C18+$H$2*D18</f>
        <v>134.6144427205891</v>
      </c>
      <c r="D19">
        <f>0.3*C19^(3/4)*(1-(C19/300)^(1/4))</f>
        <v>2.1524557544878422</v>
      </c>
    </row>
    <row r="20" spans="1:4" x14ac:dyDescent="0.35">
      <c r="A20">
        <v>18</v>
      </c>
      <c r="B20">
        <f>B19+$H$2</f>
        <v>90</v>
      </c>
      <c r="C20">
        <f>C19+$H$2*D19</f>
        <v>145.3767214930283</v>
      </c>
      <c r="D20">
        <f>0.3*C20^(3/4)*(1-(C20/300)^(1/4))</f>
        <v>2.0806946853072112</v>
      </c>
    </row>
    <row r="21" spans="1:4" x14ac:dyDescent="0.35">
      <c r="A21">
        <v>19</v>
      </c>
      <c r="B21">
        <f t="shared" ref="B21:B28" si="3">B20+$H$2</f>
        <v>95</v>
      </c>
      <c r="C21">
        <f t="shared" ref="C21:C28" si="4">C20+$H$2*D20</f>
        <v>155.78019491956437</v>
      </c>
      <c r="D21">
        <f t="shared" ref="D21:D28" si="5">0.3*C21^(3/4)*(1-(C21/300)^(1/4))</f>
        <v>1.9990297703752995</v>
      </c>
    </row>
    <row r="22" spans="1:4" x14ac:dyDescent="0.35">
      <c r="A22">
        <v>20</v>
      </c>
      <c r="B22">
        <f t="shared" si="3"/>
        <v>100</v>
      </c>
      <c r="C22">
        <f t="shared" si="4"/>
        <v>165.77534377144087</v>
      </c>
      <c r="D22">
        <f t="shared" si="5"/>
        <v>1.9101288033148704</v>
      </c>
    </row>
    <row r="23" spans="1:4" x14ac:dyDescent="0.35">
      <c r="A23">
        <v>21</v>
      </c>
      <c r="B23">
        <f t="shared" si="3"/>
        <v>105</v>
      </c>
      <c r="C23">
        <f t="shared" si="4"/>
        <v>175.32598778801523</v>
      </c>
      <c r="D23">
        <f t="shared" si="5"/>
        <v>1.816338049307896</v>
      </c>
    </row>
    <row r="24" spans="1:4" x14ac:dyDescent="0.35">
      <c r="A24">
        <v>22</v>
      </c>
      <c r="B24">
        <f t="shared" si="3"/>
        <v>110</v>
      </c>
      <c r="C24">
        <f t="shared" si="4"/>
        <v>184.40767803455469</v>
      </c>
      <c r="D24">
        <f t="shared" si="5"/>
        <v>1.7196796537968198</v>
      </c>
    </row>
    <row r="25" spans="1:4" x14ac:dyDescent="0.35">
      <c r="A25">
        <v>23</v>
      </c>
      <c r="B25">
        <f t="shared" si="3"/>
        <v>115</v>
      </c>
      <c r="C25">
        <f t="shared" si="4"/>
        <v>193.0060763035388</v>
      </c>
      <c r="D25">
        <f t="shared" si="5"/>
        <v>1.6218630173268609</v>
      </c>
    </row>
    <row r="26" spans="1:4" x14ac:dyDescent="0.35">
      <c r="A26">
        <v>24</v>
      </c>
      <c r="B26">
        <f t="shared" si="3"/>
        <v>120</v>
      </c>
      <c r="C26">
        <f t="shared" si="4"/>
        <v>201.1153913901731</v>
      </c>
      <c r="D26">
        <f t="shared" si="5"/>
        <v>1.5243053281108845</v>
      </c>
    </row>
    <row r="27" spans="1:4" x14ac:dyDescent="0.35">
      <c r="A27">
        <v>25</v>
      </c>
      <c r="B27">
        <f t="shared" si="3"/>
        <v>125</v>
      </c>
      <c r="C27">
        <f t="shared" si="4"/>
        <v>208.73691803072754</v>
      </c>
      <c r="D27">
        <f t="shared" si="5"/>
        <v>1.4281575328592326</v>
      </c>
    </row>
    <row r="28" spans="1:4" x14ac:dyDescent="0.35">
      <c r="A28">
        <v>26</v>
      </c>
      <c r="B28">
        <f t="shared" si="3"/>
        <v>130</v>
      </c>
      <c r="C28">
        <f t="shared" si="4"/>
        <v>215.87770569502371</v>
      </c>
      <c r="D28">
        <f t="shared" si="5"/>
        <v>1.3343329627545504</v>
      </c>
    </row>
    <row r="29" spans="1:4" x14ac:dyDescent="0.35">
      <c r="A29">
        <v>27</v>
      </c>
      <c r="B29">
        <f>B28+$H$2</f>
        <v>135</v>
      </c>
      <c r="C29">
        <f>C28+$H$2*D28</f>
        <v>222.54937050879647</v>
      </c>
      <c r="D29">
        <f>0.3*C29^(3/4)*(1-(C29/300)^(1/4))</f>
        <v>1.243536605330714</v>
      </c>
    </row>
    <row r="30" spans="1:4" x14ac:dyDescent="0.35">
      <c r="A30">
        <v>28</v>
      </c>
      <c r="B30">
        <f>B29+$H$2</f>
        <v>140</v>
      </c>
      <c r="C30">
        <f>C29+$H$2*D29</f>
        <v>228.76705353545003</v>
      </c>
      <c r="D30">
        <f>0.3*C30^(3/4)*(1-(C30/300)^(1/4))</f>
        <v>1.1562936322966388</v>
      </c>
    </row>
    <row r="31" spans="1:4" x14ac:dyDescent="0.35">
      <c r="A31">
        <v>29</v>
      </c>
      <c r="B31">
        <f t="shared" ref="B31:B41" si="6">B30+$H$2</f>
        <v>145</v>
      </c>
      <c r="C31">
        <f t="shared" ref="C31:C41" si="7">C30+$H$2*D30</f>
        <v>234.54852169693322</v>
      </c>
      <c r="D31">
        <f t="shared" ref="D31:D41" si="8">0.3*C31^(3/4)*(1-(C31/300)^(1/4))</f>
        <v>1.0729762749638485</v>
      </c>
    </row>
    <row r="32" spans="1:4" x14ac:dyDescent="0.35">
      <c r="A32">
        <v>30</v>
      </c>
      <c r="B32">
        <f t="shared" si="6"/>
        <v>150</v>
      </c>
      <c r="C32">
        <f t="shared" si="7"/>
        <v>239.91340307175247</v>
      </c>
      <c r="D32">
        <f t="shared" si="8"/>
        <v>0.9938285034170381</v>
      </c>
    </row>
    <row r="33" spans="1:9" x14ac:dyDescent="0.35">
      <c r="A33">
        <v>31</v>
      </c>
      <c r="B33">
        <f t="shared" si="6"/>
        <v>155</v>
      </c>
      <c r="C33">
        <f t="shared" si="7"/>
        <v>244.88254558883767</v>
      </c>
      <c r="D33">
        <f t="shared" si="8"/>
        <v>0.91898823374085459</v>
      </c>
    </row>
    <row r="34" spans="1:9" x14ac:dyDescent="0.35">
      <c r="A34">
        <v>32</v>
      </c>
      <c r="B34">
        <f t="shared" si="6"/>
        <v>160</v>
      </c>
      <c r="C34">
        <f t="shared" si="7"/>
        <v>249.47748675754195</v>
      </c>
      <c r="D34">
        <f t="shared" si="8"/>
        <v>0.84850697880256665</v>
      </c>
    </row>
    <row r="35" spans="1:9" x14ac:dyDescent="0.35">
      <c r="A35">
        <v>33</v>
      </c>
      <c r="B35">
        <f t="shared" si="6"/>
        <v>165</v>
      </c>
      <c r="C35">
        <f t="shared" si="7"/>
        <v>253.72002165155479</v>
      </c>
      <c r="D35">
        <f t="shared" si="8"/>
        <v>0.78236698922910397</v>
      </c>
    </row>
    <row r="36" spans="1:9" x14ac:dyDescent="0.35">
      <c r="A36">
        <v>34</v>
      </c>
      <c r="B36">
        <f t="shared" si="6"/>
        <v>170</v>
      </c>
      <c r="C36">
        <f t="shared" si="7"/>
        <v>257.63185659770033</v>
      </c>
      <c r="D36">
        <f t="shared" si="8"/>
        <v>0.72049601658848716</v>
      </c>
    </row>
    <row r="37" spans="1:9" x14ac:dyDescent="0.35">
      <c r="A37">
        <v>35</v>
      </c>
      <c r="B37">
        <f t="shared" si="6"/>
        <v>175</v>
      </c>
      <c r="C37">
        <f t="shared" si="7"/>
        <v>261.2343366806428</v>
      </c>
      <c r="D37">
        <f t="shared" si="8"/>
        <v>0.66277988207200489</v>
      </c>
    </row>
    <row r="38" spans="1:9" x14ac:dyDescent="0.35">
      <c r="A38">
        <v>36</v>
      </c>
      <c r="B38">
        <f t="shared" si="6"/>
        <v>180</v>
      </c>
      <c r="C38">
        <f t="shared" si="7"/>
        <v>264.54823609100282</v>
      </c>
      <c r="D38">
        <f t="shared" si="8"/>
        <v>0.60907306049750609</v>
      </c>
    </row>
    <row r="39" spans="1:9" x14ac:dyDescent="0.35">
      <c r="A39">
        <v>37</v>
      </c>
      <c r="B39">
        <f t="shared" si="6"/>
        <v>185</v>
      </c>
      <c r="C39">
        <f t="shared" si="7"/>
        <v>267.59360139349036</v>
      </c>
      <c r="D39">
        <f t="shared" si="8"/>
        <v>0.5592074984979426</v>
      </c>
      <c r="H39" t="s">
        <v>16</v>
      </c>
    </row>
    <row r="40" spans="1:9" x14ac:dyDescent="0.35">
      <c r="A40">
        <v>38</v>
      </c>
      <c r="B40">
        <f t="shared" si="6"/>
        <v>190</v>
      </c>
      <c r="C40">
        <f t="shared" si="7"/>
        <v>270.38963888598005</v>
      </c>
      <c r="D40">
        <f t="shared" si="8"/>
        <v>0.51299988289855436</v>
      </c>
      <c r="H40" s="6" t="s">
        <v>14</v>
      </c>
      <c r="I40" s="8" t="s">
        <v>15</v>
      </c>
    </row>
    <row r="41" spans="1:9" x14ac:dyDescent="0.35">
      <c r="A41">
        <v>39</v>
      </c>
      <c r="B41">
        <f t="shared" si="6"/>
        <v>195</v>
      </c>
      <c r="C41">
        <f t="shared" si="7"/>
        <v>272.95463830047282</v>
      </c>
      <c r="D41">
        <f t="shared" si="8"/>
        <v>0.47025756470715463</v>
      </c>
      <c r="H41" s="5">
        <v>0</v>
      </c>
      <c r="I41" s="7">
        <v>1</v>
      </c>
    </row>
    <row r="42" spans="1:9" x14ac:dyDescent="0.35">
      <c r="A42">
        <v>40</v>
      </c>
      <c r="B42">
        <f>B41+$H$2</f>
        <v>200</v>
      </c>
      <c r="C42">
        <f>C41+$H$2*D41</f>
        <v>275.30592612400858</v>
      </c>
      <c r="D42">
        <f>0.3*C42^(3/4)*(1-(C42/300)^(1/4))</f>
        <v>0.43078332892513332</v>
      </c>
      <c r="H42" s="5">
        <v>50</v>
      </c>
      <c r="I42" s="7">
        <v>279.12799999999999</v>
      </c>
    </row>
    <row r="43" spans="1:9" x14ac:dyDescent="0.35">
      <c r="A43">
        <v>41</v>
      </c>
      <c r="B43">
        <f>B42+$H$2</f>
        <v>205</v>
      </c>
      <c r="C43">
        <f>C42+$H$2*D42</f>
        <v>277.45984276863425</v>
      </c>
      <c r="D43">
        <f>0.3*C43^(3/4)*(1-(C43/300)^(1/4))</f>
        <v>0.39437918274699346</v>
      </c>
      <c r="H43" s="5">
        <v>100</v>
      </c>
      <c r="I43" s="7">
        <v>299.49599999999998</v>
      </c>
    </row>
    <row r="44" spans="1:9" x14ac:dyDescent="0.35">
      <c r="A44">
        <v>42</v>
      </c>
      <c r="B44">
        <f t="shared" ref="B44:B53" si="9">B43+$H$2</f>
        <v>210</v>
      </c>
      <c r="C44">
        <f t="shared" ref="C44:C53" si="10">C43+$H$2*D43</f>
        <v>279.4317386823692</v>
      </c>
      <c r="D44">
        <f t="shared" ref="D44:D53" si="11">0.3*C44^(3/4)*(1-(C44/300)^(1/4))</f>
        <v>0.36084931620501826</v>
      </c>
      <c r="H44" s="5">
        <v>150</v>
      </c>
      <c r="I44" s="7">
        <v>299.988</v>
      </c>
    </row>
    <row r="45" spans="1:9" x14ac:dyDescent="0.35">
      <c r="A45">
        <v>43</v>
      </c>
      <c r="B45">
        <f t="shared" si="9"/>
        <v>215</v>
      </c>
      <c r="C45">
        <f t="shared" si="10"/>
        <v>281.2359852633943</v>
      </c>
      <c r="D45">
        <f t="shared" si="11"/>
        <v>0.33000237098258328</v>
      </c>
      <c r="H45" s="5">
        <v>200</v>
      </c>
      <c r="I45" s="7">
        <v>299.99970000000002</v>
      </c>
    </row>
    <row r="46" spans="1:9" x14ac:dyDescent="0.35">
      <c r="A46">
        <v>44</v>
      </c>
      <c r="B46">
        <f t="shared" si="9"/>
        <v>220</v>
      </c>
      <c r="C46">
        <f t="shared" si="10"/>
        <v>282.88599711830722</v>
      </c>
      <c r="D46">
        <f t="shared" si="11"/>
        <v>0.30165313564272672</v>
      </c>
      <c r="H46" s="5">
        <v>250</v>
      </c>
      <c r="I46" s="7">
        <v>299.99999000000003</v>
      </c>
    </row>
    <row r="47" spans="1:9" x14ac:dyDescent="0.35">
      <c r="A47">
        <v>45</v>
      </c>
      <c r="B47">
        <f t="shared" si="9"/>
        <v>225</v>
      </c>
      <c r="C47">
        <f t="shared" si="10"/>
        <v>284.39426279652088</v>
      </c>
      <c r="D47">
        <f t="shared" si="11"/>
        <v>0.27562376930386484</v>
      </c>
      <c r="H47" s="5">
        <v>300</v>
      </c>
      <c r="I47" s="7">
        <v>299.99999980000001</v>
      </c>
    </row>
    <row r="48" spans="1:9" x14ac:dyDescent="0.35">
      <c r="A48">
        <v>46</v>
      </c>
      <c r="B48">
        <f t="shared" si="9"/>
        <v>230</v>
      </c>
      <c r="C48">
        <f t="shared" si="10"/>
        <v>285.77238164304021</v>
      </c>
      <c r="D48">
        <f t="shared" si="11"/>
        <v>0.25174464105554317</v>
      </c>
      <c r="H48" s="9">
        <v>400</v>
      </c>
      <c r="I48" s="10">
        <v>300</v>
      </c>
    </row>
    <row r="49" spans="1:4" x14ac:dyDescent="0.35">
      <c r="A49">
        <v>47</v>
      </c>
      <c r="B49">
        <f t="shared" si="9"/>
        <v>235</v>
      </c>
      <c r="C49">
        <f t="shared" si="10"/>
        <v>287.03110484831791</v>
      </c>
      <c r="D49">
        <f t="shared" si="11"/>
        <v>0.22985485922207272</v>
      </c>
    </row>
    <row r="50" spans="1:4" x14ac:dyDescent="0.35">
      <c r="A50">
        <v>48</v>
      </c>
      <c r="B50">
        <f t="shared" si="9"/>
        <v>240</v>
      </c>
      <c r="C50">
        <f t="shared" si="10"/>
        <v>288.18037914442829</v>
      </c>
      <c r="D50">
        <f t="shared" si="11"/>
        <v>0.2098025529388379</v>
      </c>
    </row>
    <row r="51" spans="1:4" x14ac:dyDescent="0.35">
      <c r="A51">
        <v>49</v>
      </c>
      <c r="B51">
        <f t="shared" si="9"/>
        <v>245</v>
      </c>
      <c r="C51">
        <f t="shared" si="10"/>
        <v>289.22939190912246</v>
      </c>
      <c r="D51">
        <f t="shared" si="11"/>
        <v>0.19144495833494121</v>
      </c>
    </row>
    <row r="52" spans="1:4" x14ac:dyDescent="0.35">
      <c r="A52">
        <v>50</v>
      </c>
      <c r="B52">
        <f t="shared" si="9"/>
        <v>250</v>
      </c>
      <c r="C52">
        <f t="shared" si="10"/>
        <v>290.18661670079717</v>
      </c>
      <c r="D52">
        <f t="shared" si="11"/>
        <v>0.17464835281161301</v>
      </c>
    </row>
    <row r="53" spans="1:4" x14ac:dyDescent="0.35">
      <c r="A53">
        <v>51</v>
      </c>
      <c r="B53">
        <f t="shared" si="9"/>
        <v>255</v>
      </c>
      <c r="C53">
        <f t="shared" si="10"/>
        <v>291.05985846485521</v>
      </c>
      <c r="D53">
        <f t="shared" si="11"/>
        <v>0.15928787334527841</v>
      </c>
    </row>
    <row r="54" spans="1:4" x14ac:dyDescent="0.35">
      <c r="A54">
        <v>52</v>
      </c>
      <c r="B54">
        <f>B53+$H$2</f>
        <v>260</v>
      </c>
      <c r="C54">
        <f>C53+$H$2*D53</f>
        <v>291.85629783158163</v>
      </c>
      <c r="D54">
        <f>0.3*C54^(3/4)*(1-(C54/300)^(1/4))</f>
        <v>0.14524724829767699</v>
      </c>
    </row>
    <row r="55" spans="1:4" x14ac:dyDescent="0.35">
      <c r="A55">
        <v>53</v>
      </c>
      <c r="B55">
        <f>B54+$H$2</f>
        <v>265</v>
      </c>
      <c r="C55">
        <f>C54+$H$2*D54</f>
        <v>292.58253407307001</v>
      </c>
      <c r="D55">
        <f>0.3*C55^(3/4)*(1-(C55/300)^(1/4))</f>
        <v>0.13241846675380753</v>
      </c>
    </row>
    <row r="56" spans="1:4" x14ac:dyDescent="0.35">
      <c r="A56">
        <v>54</v>
      </c>
      <c r="B56">
        <f t="shared" ref="B56:B60" si="12">B55+$H$2</f>
        <v>270</v>
      </c>
      <c r="C56">
        <f t="shared" ref="C56:C60" si="13">C55+$H$2*D55</f>
        <v>293.24462640683902</v>
      </c>
      <c r="D56">
        <f t="shared" ref="D56:D60" si="14">0.3*C56^(3/4)*(1-(C56/300)^(1/4))</f>
        <v>0.12070140480869324</v>
      </c>
    </row>
    <row r="57" spans="1:4" x14ac:dyDescent="0.35">
      <c r="A57">
        <v>55</v>
      </c>
      <c r="B57">
        <f t="shared" si="12"/>
        <v>275</v>
      </c>
      <c r="C57">
        <f t="shared" si="13"/>
        <v>293.84813343088246</v>
      </c>
      <c r="D57">
        <f t="shared" si="14"/>
        <v>0.11000342437178633</v>
      </c>
    </row>
    <row r="58" spans="1:4" x14ac:dyDescent="0.35">
      <c r="A58">
        <v>56</v>
      </c>
      <c r="B58">
        <f t="shared" si="12"/>
        <v>280</v>
      </c>
      <c r="C58">
        <f t="shared" si="13"/>
        <v>294.39815055274141</v>
      </c>
      <c r="D58">
        <f t="shared" si="14"/>
        <v>0.10023895684894776</v>
      </c>
    </row>
    <row r="59" spans="1:4" x14ac:dyDescent="0.35">
      <c r="A59">
        <v>57</v>
      </c>
      <c r="B59">
        <f t="shared" si="12"/>
        <v>285</v>
      </c>
      <c r="C59">
        <f t="shared" si="13"/>
        <v>294.89934533698613</v>
      </c>
      <c r="D59">
        <f t="shared" si="14"/>
        <v>9.1329081403324588E-2</v>
      </c>
    </row>
    <row r="60" spans="1:4" x14ac:dyDescent="0.35">
      <c r="A60">
        <v>58</v>
      </c>
      <c r="B60">
        <f t="shared" si="12"/>
        <v>290</v>
      </c>
      <c r="C60">
        <f t="shared" si="13"/>
        <v>295.35599074400272</v>
      </c>
      <c r="D60">
        <f t="shared" si="14"/>
        <v>8.3201105305422129E-2</v>
      </c>
    </row>
    <row r="61" spans="1:4" x14ac:dyDescent="0.35">
      <c r="A61">
        <v>59</v>
      </c>
      <c r="B61">
        <f>B60+$H$2</f>
        <v>295</v>
      </c>
      <c r="C61">
        <f>C60+$H$2*D60</f>
        <v>295.77199627052983</v>
      </c>
      <c r="D61">
        <f>0.3*C61^(3/4)*(1-(C61/300)^(1/4))</f>
        <v>7.5788152086950597E-2</v>
      </c>
    </row>
    <row r="62" spans="1:4" x14ac:dyDescent="0.35">
      <c r="A62">
        <v>60</v>
      </c>
      <c r="B62">
        <f>B61+$H$2</f>
        <v>300</v>
      </c>
      <c r="C62">
        <f>C61+$H$2*D61</f>
        <v>296.1509370309646</v>
      </c>
      <c r="D62">
        <f>0.3*C62^(3/4)*(1-(C62/300)^(1/4))</f>
        <v>6.9028761750090525E-2</v>
      </c>
    </row>
    <row r="63" spans="1:4" x14ac:dyDescent="0.35">
      <c r="A63">
        <v>61</v>
      </c>
      <c r="B63">
        <f t="shared" ref="B63:B73" si="15">B62+$H$2</f>
        <v>305</v>
      </c>
      <c r="C63">
        <f t="shared" ref="C63:C73" si="16">C62+$H$2*D62</f>
        <v>296.49608083971503</v>
      </c>
      <c r="D63">
        <f t="shared" ref="D63:D73" si="17">0.3*C63^(3/4)*(1-(C63/300)^(1/4))</f>
        <v>6.2866506099151814E-2</v>
      </c>
    </row>
    <row r="64" spans="1:4" x14ac:dyDescent="0.35">
      <c r="A64">
        <v>62</v>
      </c>
      <c r="B64">
        <f t="shared" si="15"/>
        <v>310</v>
      </c>
      <c r="C64">
        <f t="shared" si="16"/>
        <v>296.81041337021077</v>
      </c>
      <c r="D64">
        <f t="shared" si="17"/>
        <v>5.7249621309309266E-2</v>
      </c>
    </row>
    <row r="65" spans="1:4" x14ac:dyDescent="0.35">
      <c r="A65">
        <v>63</v>
      </c>
      <c r="B65">
        <f t="shared" si="15"/>
        <v>315</v>
      </c>
      <c r="C65">
        <f t="shared" si="16"/>
        <v>297.09666147675733</v>
      </c>
      <c r="D65">
        <f t="shared" si="17"/>
        <v>5.2130659087422156E-2</v>
      </c>
    </row>
    <row r="66" spans="1:4" x14ac:dyDescent="0.35">
      <c r="A66">
        <v>64</v>
      </c>
      <c r="B66">
        <f t="shared" si="15"/>
        <v>320</v>
      </c>
      <c r="C66">
        <f t="shared" si="16"/>
        <v>297.35731477219446</v>
      </c>
      <c r="D66">
        <f t="shared" si="17"/>
        <v>4.74661571794762E-2</v>
      </c>
    </row>
    <row r="67" spans="1:4" x14ac:dyDescent="0.35">
      <c r="A67">
        <v>65</v>
      </c>
      <c r="B67">
        <f t="shared" si="15"/>
        <v>325</v>
      </c>
      <c r="C67">
        <f t="shared" si="16"/>
        <v>297.59464555809183</v>
      </c>
      <c r="D67">
        <f t="shared" si="17"/>
        <v>4.3216329509793878E-2</v>
      </c>
    </row>
    <row r="68" spans="1:4" x14ac:dyDescent="0.35">
      <c r="A68">
        <v>66</v>
      </c>
      <c r="B68">
        <f t="shared" si="15"/>
        <v>330</v>
      </c>
      <c r="C68">
        <f t="shared" si="16"/>
        <v>297.81072720564077</v>
      </c>
      <c r="D68">
        <f t="shared" si="17"/>
        <v>3.9344775875005643E-2</v>
      </c>
    </row>
    <row r="69" spans="1:4" x14ac:dyDescent="0.35">
      <c r="A69">
        <v>67</v>
      </c>
      <c r="B69">
        <f t="shared" si="15"/>
        <v>335</v>
      </c>
      <c r="C69">
        <f t="shared" si="16"/>
        <v>298.00745108501582</v>
      </c>
      <c r="D69">
        <f t="shared" si="17"/>
        <v>3.5818210841100123E-2</v>
      </c>
    </row>
    <row r="70" spans="1:4" x14ac:dyDescent="0.35">
      <c r="A70">
        <v>68</v>
      </c>
      <c r="B70">
        <f t="shared" si="15"/>
        <v>340</v>
      </c>
      <c r="C70">
        <f t="shared" si="16"/>
        <v>298.18654213922133</v>
      </c>
      <c r="D70">
        <f t="shared" si="17"/>
        <v>3.2606211288044827E-2</v>
      </c>
    </row>
    <row r="71" spans="1:4" x14ac:dyDescent="0.35">
      <c r="A71">
        <v>69</v>
      </c>
      <c r="B71">
        <f t="shared" si="15"/>
        <v>345</v>
      </c>
      <c r="C71">
        <f t="shared" si="16"/>
        <v>298.34957319566155</v>
      </c>
      <c r="D71">
        <f t="shared" si="17"/>
        <v>2.9680981899778663E-2</v>
      </c>
    </row>
    <row r="72" spans="1:4" x14ac:dyDescent="0.35">
      <c r="A72">
        <v>70</v>
      </c>
      <c r="B72">
        <f t="shared" si="15"/>
        <v>350</v>
      </c>
      <c r="C72">
        <f t="shared" si="16"/>
        <v>298.49797810516043</v>
      </c>
      <c r="D72">
        <f t="shared" si="17"/>
        <v>2.701713779645077E-2</v>
      </c>
    </row>
    <row r="73" spans="1:4" x14ac:dyDescent="0.35">
      <c r="A73">
        <v>71</v>
      </c>
      <c r="B73">
        <f t="shared" si="15"/>
        <v>355</v>
      </c>
      <c r="C73">
        <f t="shared" si="16"/>
        <v>298.63306379414269</v>
      </c>
      <c r="D73">
        <f t="shared" si="17"/>
        <v>2.4591503441160855E-2</v>
      </c>
    </row>
    <row r="74" spans="1:4" x14ac:dyDescent="0.35">
      <c r="A74">
        <v>72</v>
      </c>
      <c r="B74">
        <f>B73+$H$2</f>
        <v>360</v>
      </c>
      <c r="C74">
        <f>C73+$H$2*D73</f>
        <v>298.75602131134849</v>
      </c>
      <c r="D74">
        <f>0.3*C74^(3/4)*(1-(C74/300)^(1/4))</f>
        <v>2.2382926917522337E-2</v>
      </c>
    </row>
    <row r="75" spans="1:4" x14ac:dyDescent="0.35">
      <c r="A75">
        <v>73</v>
      </c>
      <c r="B75">
        <f>B74+$H$2</f>
        <v>365</v>
      </c>
      <c r="C75">
        <f>C74+$H$2*D74</f>
        <v>298.8679359459361</v>
      </c>
      <c r="D75">
        <f>0.3*C75^(3/4)*(1-(C75/300)^(1/4))</f>
        <v>2.0372108660677991E-2</v>
      </c>
    </row>
    <row r="76" spans="1:4" x14ac:dyDescent="0.35">
      <c r="A76">
        <v>74</v>
      </c>
      <c r="B76">
        <f t="shared" ref="B76:B83" si="18">B75+$H$2</f>
        <v>370</v>
      </c>
      <c r="C76">
        <f t="shared" ref="C76:C83" si="19">C75+$H$2*D75</f>
        <v>298.96979648923951</v>
      </c>
      <c r="D76">
        <f t="shared" ref="D76:D83" si="20">0.3*C76^(3/4)*(1-(C76/300)^(1/4))</f>
        <v>1.8541443727957678E-2</v>
      </c>
    </row>
    <row r="77" spans="1:4" x14ac:dyDescent="0.35">
      <c r="A77">
        <v>75</v>
      </c>
      <c r="B77">
        <f t="shared" si="18"/>
        <v>375</v>
      </c>
      <c r="C77">
        <f t="shared" si="19"/>
        <v>299.06250370787933</v>
      </c>
      <c r="D77">
        <f t="shared" si="20"/>
        <v>1.6874876711799221E-2</v>
      </c>
    </row>
    <row r="78" spans="1:4" x14ac:dyDescent="0.35">
      <c r="A78">
        <v>76</v>
      </c>
      <c r="B78">
        <f t="shared" si="18"/>
        <v>380</v>
      </c>
      <c r="C78">
        <f t="shared" si="19"/>
        <v>299.14687809143834</v>
      </c>
      <c r="D78">
        <f t="shared" si="20"/>
        <v>1.535776842367483E-2</v>
      </c>
    </row>
    <row r="79" spans="1:4" x14ac:dyDescent="0.35">
      <c r="A79">
        <v>77</v>
      </c>
      <c r="B79">
        <f t="shared" si="18"/>
        <v>385</v>
      </c>
      <c r="C79">
        <f t="shared" si="19"/>
        <v>299.22366693355673</v>
      </c>
      <c r="D79">
        <f t="shared" si="20"/>
        <v>1.397677351073875E-2</v>
      </c>
    </row>
    <row r="80" spans="1:4" x14ac:dyDescent="0.35">
      <c r="A80">
        <v>78</v>
      </c>
      <c r="B80">
        <f t="shared" si="18"/>
        <v>390</v>
      </c>
      <c r="C80">
        <f t="shared" si="19"/>
        <v>299.29355080111043</v>
      </c>
      <c r="D80">
        <f t="shared" si="20"/>
        <v>1.271972820460587E-2</v>
      </c>
    </row>
    <row r="81" spans="1:4" x14ac:dyDescent="0.35">
      <c r="A81">
        <v>79</v>
      </c>
      <c r="B81">
        <f t="shared" si="18"/>
        <v>395</v>
      </c>
      <c r="C81">
        <f t="shared" si="19"/>
        <v>299.35714944213345</v>
      </c>
      <c r="D81">
        <f t="shared" si="20"/>
        <v>1.1575547442369409E-2</v>
      </c>
    </row>
    <row r="82" spans="1:4" x14ac:dyDescent="0.35">
      <c r="A82">
        <v>80</v>
      </c>
      <c r="B82">
        <f t="shared" si="18"/>
        <v>400</v>
      </c>
      <c r="C82" s="1">
        <f t="shared" si="19"/>
        <v>299.41502717934532</v>
      </c>
      <c r="D82">
        <f t="shared" si="20"/>
        <v>1.0534130642364402E-2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AAA0-CBFC-4363-A6E9-4B8FF6CE42C9}">
  <dimension ref="A1:H85"/>
  <sheetViews>
    <sheetView topLeftCell="A73" workbookViewId="0">
      <selection activeCell="O81" sqref="O81"/>
    </sheetView>
  </sheetViews>
  <sheetFormatPr baseColWidth="10" defaultRowHeight="14.5" x14ac:dyDescent="0.35"/>
  <sheetData>
    <row r="1" spans="1:8" x14ac:dyDescent="0.35">
      <c r="A1" s="3" t="s">
        <v>1</v>
      </c>
      <c r="B1" s="3" t="s">
        <v>0</v>
      </c>
      <c r="C1" s="3" t="s">
        <v>4</v>
      </c>
      <c r="D1" s="3" t="s">
        <v>11</v>
      </c>
      <c r="E1" s="3" t="s">
        <v>12</v>
      </c>
      <c r="F1" s="3" t="s">
        <v>3</v>
      </c>
      <c r="G1" s="3" t="s">
        <v>13</v>
      </c>
    </row>
    <row r="2" spans="1:8" x14ac:dyDescent="0.35">
      <c r="A2">
        <v>0</v>
      </c>
      <c r="B2">
        <v>0</v>
      </c>
      <c r="C2">
        <v>1</v>
      </c>
      <c r="D2">
        <f>0.3*C2^(3/4)*(1-(C2/300)^(1/4))</f>
        <v>0.22791565757595736</v>
      </c>
      <c r="E2">
        <f>C2+$H$2*D2</f>
        <v>2.1395782878797869</v>
      </c>
      <c r="F2">
        <f>0.3*E2^(3/4)*(1-(E2/300)^(1/4))</f>
        <v>0.37649227326338208</v>
      </c>
      <c r="G2">
        <f>C2+$H$2*(D2+F2)/2</f>
        <v>2.5110198270983486</v>
      </c>
      <c r="H2">
        <v>5</v>
      </c>
    </row>
    <row r="3" spans="1:8" x14ac:dyDescent="0.35">
      <c r="A3">
        <v>1</v>
      </c>
      <c r="B3">
        <f>B2+$H$2</f>
        <v>5</v>
      </c>
      <c r="C3">
        <f>G2</f>
        <v>2.5110198270983486</v>
      </c>
      <c r="D3">
        <f>0.3*C3^(3/4)*(1-(C3/300)^(1/4))</f>
        <v>0.41741859188099395</v>
      </c>
      <c r="E3">
        <f>C3+$H$2*D3</f>
        <v>4.598112786503318</v>
      </c>
      <c r="F3">
        <f>0.3*E3^(3/4)*(1-(E3/300)^(1/4))</f>
        <v>0.61055905350060113</v>
      </c>
      <c r="G3">
        <f>C3+$H$2*(D3+F3)/2</f>
        <v>5.080963940552337</v>
      </c>
    </row>
    <row r="4" spans="1:8" x14ac:dyDescent="0.35">
      <c r="A4">
        <v>2</v>
      </c>
      <c r="B4">
        <f>B3+$H$2</f>
        <v>10</v>
      </c>
      <c r="C4">
        <f>G3</f>
        <v>5.080963940552337</v>
      </c>
      <c r="D4">
        <f>0.3*C4^(3/4)*(1-(C4/300)^(1/4))</f>
        <v>0.64901038580682235</v>
      </c>
      <c r="E4">
        <f>C4+$H$2*D4</f>
        <v>8.326015869586449</v>
      </c>
      <c r="F4">
        <f>0.3*E4^(3/4)*(1-(E4/300)^(1/4))</f>
        <v>0.87027096017057537</v>
      </c>
      <c r="G4">
        <f>C4+$H$2*(D4+F4)/2</f>
        <v>8.8791673054958302</v>
      </c>
    </row>
    <row r="5" spans="1:8" x14ac:dyDescent="0.35">
      <c r="A5">
        <v>3</v>
      </c>
      <c r="B5">
        <f>B4+$H$2</f>
        <v>15</v>
      </c>
      <c r="C5">
        <f>G4</f>
        <v>8.8791673054958302</v>
      </c>
      <c r="D5">
        <f>0.3*C5^(3/4)*(1-(C5/300)^(1/4))</f>
        <v>0.90307367179870146</v>
      </c>
      <c r="E5">
        <f>C5+$H$2*D5</f>
        <v>13.394535664489338</v>
      </c>
      <c r="F5">
        <f>0.3*E5^(3/4)*(1-(E5/300)^(1/4))</f>
        <v>1.1349362138368724</v>
      </c>
      <c r="G5">
        <f>C5+$H$2*(D5+F5)/2</f>
        <v>13.974192019584766</v>
      </c>
    </row>
    <row r="6" spans="1:8" x14ac:dyDescent="0.35">
      <c r="A6">
        <v>4</v>
      </c>
      <c r="B6">
        <f>B5+$H$2</f>
        <v>20</v>
      </c>
      <c r="C6">
        <f>G5</f>
        <v>13.974192019584766</v>
      </c>
      <c r="D6">
        <f>0.3*C6^(3/4)*(1-(C6/300)^(1/4))</f>
        <v>1.1609641542806171</v>
      </c>
      <c r="E6">
        <f>C6+$H$2*D6</f>
        <v>19.779012790987849</v>
      </c>
      <c r="F6">
        <f>0.3*E6^(3/4)*(1-(E6/300)^(1/4))</f>
        <v>1.3879229316219177</v>
      </c>
      <c r="G6">
        <f>C6+$H$2*(D6+F6)/2</f>
        <v>20.346409734341101</v>
      </c>
    </row>
    <row r="7" spans="1:8" x14ac:dyDescent="0.35">
      <c r="A7">
        <v>5</v>
      </c>
      <c r="B7">
        <f>B6+$H$2</f>
        <v>25</v>
      </c>
      <c r="C7">
        <f>G6</f>
        <v>20.346409734341101</v>
      </c>
      <c r="D7">
        <f>0.3*C7^(3/4)*(1-(C7/300)^(1/4))</f>
        <v>1.407344620399535</v>
      </c>
      <c r="E7">
        <f>C7+$H$2*D7</f>
        <v>27.383132836338774</v>
      </c>
      <c r="F7">
        <f>0.3*E7^(3/4)*(1-(E7/300)^(1/4))</f>
        <v>1.6172553631314981</v>
      </c>
      <c r="G7">
        <f>C7+$H$2*(D7+F7)/2</f>
        <v>27.907909693168683</v>
      </c>
    </row>
    <row r="8" spans="1:8" x14ac:dyDescent="0.35">
      <c r="A8">
        <v>6</v>
      </c>
      <c r="B8">
        <f t="shared" ref="B8:B17" si="0">B7+$H$2</f>
        <v>30</v>
      </c>
      <c r="C8">
        <f t="shared" ref="C8:C17" si="1">G7</f>
        <v>27.907909693168683</v>
      </c>
      <c r="D8">
        <f t="shared" ref="D8:D17" si="2">0.3*C8^(3/4)*(1-(C8/300)^(1/4))</f>
        <v>1.6309207422703142</v>
      </c>
      <c r="E8">
        <f t="shared" ref="E8:E17" si="3">C8+$H$2*D8</f>
        <v>36.062513404520253</v>
      </c>
      <c r="F8">
        <f t="shared" ref="F8:F17" si="4">0.3*E8^(3/4)*(1-(E8/300)^(1/4))</f>
        <v>1.8152799494466729</v>
      </c>
      <c r="G8">
        <f t="shared" ref="G8:G17" si="5">C8+$H$2*(D8+F8)/2</f>
        <v>36.523411422461152</v>
      </c>
    </row>
    <row r="9" spans="1:8" x14ac:dyDescent="0.35">
      <c r="A9">
        <v>7</v>
      </c>
      <c r="B9">
        <f t="shared" si="0"/>
        <v>35</v>
      </c>
      <c r="C9">
        <f t="shared" si="1"/>
        <v>36.523411422461152</v>
      </c>
      <c r="D9">
        <f t="shared" si="2"/>
        <v>1.8243069979934483</v>
      </c>
      <c r="E9">
        <f t="shared" si="3"/>
        <v>45.644946412428396</v>
      </c>
      <c r="F9">
        <f t="shared" si="4"/>
        <v>1.9779568358324828</v>
      </c>
      <c r="G9">
        <f t="shared" si="5"/>
        <v>46.029071007025976</v>
      </c>
    </row>
    <row r="10" spans="1:8" x14ac:dyDescent="0.35">
      <c r="A10">
        <v>8</v>
      </c>
      <c r="B10">
        <f t="shared" si="0"/>
        <v>40</v>
      </c>
      <c r="C10">
        <f t="shared" si="1"/>
        <v>46.029071007025976</v>
      </c>
      <c r="D10">
        <f t="shared" si="2"/>
        <v>1.9834837447540776</v>
      </c>
      <c r="E10">
        <f t="shared" si="3"/>
        <v>55.946489730796365</v>
      </c>
      <c r="F10">
        <f t="shared" si="4"/>
        <v>2.104060079239658</v>
      </c>
      <c r="G10">
        <f t="shared" si="5"/>
        <v>56.247930567010314</v>
      </c>
    </row>
    <row r="11" spans="1:8" x14ac:dyDescent="0.35">
      <c r="A11">
        <v>9</v>
      </c>
      <c r="B11">
        <f t="shared" si="0"/>
        <v>45</v>
      </c>
      <c r="C11">
        <f t="shared" si="1"/>
        <v>56.247930567010314</v>
      </c>
      <c r="D11">
        <f t="shared" si="2"/>
        <v>2.1071136622456224</v>
      </c>
      <c r="E11">
        <f t="shared" si="3"/>
        <v>66.783498878238419</v>
      </c>
      <c r="F11">
        <f t="shared" si="4"/>
        <v>2.1944239864748831</v>
      </c>
      <c r="G11">
        <f t="shared" si="5"/>
        <v>67.001774688811579</v>
      </c>
    </row>
    <row r="12" spans="1:8" x14ac:dyDescent="0.35">
      <c r="A12">
        <v>10</v>
      </c>
      <c r="B12">
        <f t="shared" si="0"/>
        <v>50</v>
      </c>
      <c r="C12">
        <f t="shared" si="1"/>
        <v>67.001774688811579</v>
      </c>
      <c r="D12">
        <f t="shared" si="2"/>
        <v>2.1958626169437307</v>
      </c>
      <c r="E12">
        <f t="shared" si="3"/>
        <v>77.981087773530234</v>
      </c>
      <c r="F12">
        <f t="shared" si="4"/>
        <v>2.2512945747855944</v>
      </c>
      <c r="G12">
        <f t="shared" si="5"/>
        <v>78.119667668134895</v>
      </c>
    </row>
    <row r="13" spans="1:8" x14ac:dyDescent="0.35">
      <c r="A13">
        <v>11</v>
      </c>
      <c r="B13">
        <f t="shared" si="0"/>
        <v>55</v>
      </c>
      <c r="C13">
        <f t="shared" si="1"/>
        <v>78.119667668134895</v>
      </c>
      <c r="D13">
        <f t="shared" si="2"/>
        <v>2.2517954608306816</v>
      </c>
      <c r="E13">
        <f t="shared" si="3"/>
        <v>89.378644972288299</v>
      </c>
      <c r="F13">
        <f t="shared" si="4"/>
        <v>2.2778034243686682</v>
      </c>
      <c r="G13">
        <f t="shared" si="5"/>
        <v>89.443664881133273</v>
      </c>
    </row>
    <row r="14" spans="1:8" x14ac:dyDescent="0.35">
      <c r="A14">
        <v>12</v>
      </c>
      <c r="B14">
        <f t="shared" si="0"/>
        <v>60</v>
      </c>
      <c r="C14">
        <f t="shared" si="1"/>
        <v>89.443664881133273</v>
      </c>
      <c r="D14">
        <f t="shared" si="2"/>
        <v>2.2778740305941536</v>
      </c>
      <c r="E14">
        <f t="shared" si="3"/>
        <v>100.83303503410404</v>
      </c>
      <c r="F14">
        <f t="shared" si="4"/>
        <v>2.277559931418204</v>
      </c>
      <c r="G14">
        <f t="shared" si="5"/>
        <v>100.83224978616417</v>
      </c>
    </row>
    <row r="15" spans="1:8" x14ac:dyDescent="0.35">
      <c r="A15">
        <v>13</v>
      </c>
      <c r="B15">
        <f t="shared" si="0"/>
        <v>65</v>
      </c>
      <c r="C15">
        <f t="shared" si="1"/>
        <v>100.83224978616417</v>
      </c>
      <c r="D15">
        <f t="shared" si="2"/>
        <v>2.277560779829884</v>
      </c>
      <c r="E15">
        <f t="shared" si="3"/>
        <v>112.22005368531359</v>
      </c>
      <c r="F15">
        <f t="shared" si="4"/>
        <v>2.2543481779033137</v>
      </c>
      <c r="G15">
        <f t="shared" si="5"/>
        <v>112.16202218049716</v>
      </c>
    </row>
    <row r="16" spans="1:8" x14ac:dyDescent="0.35">
      <c r="A16">
        <v>14</v>
      </c>
      <c r="B16">
        <f t="shared" si="0"/>
        <v>70</v>
      </c>
      <c r="C16">
        <f t="shared" si="1"/>
        <v>112.16202218049716</v>
      </c>
      <c r="D16">
        <f t="shared" si="2"/>
        <v>2.2545193787707674</v>
      </c>
      <c r="E16">
        <f t="shared" si="3"/>
        <v>123.43461907435099</v>
      </c>
      <c r="F16">
        <f t="shared" si="4"/>
        <v>2.2119111833624339</v>
      </c>
      <c r="G16">
        <f t="shared" si="5"/>
        <v>123.32809858583016</v>
      </c>
    </row>
    <row r="17" spans="1:7" x14ac:dyDescent="0.35">
      <c r="A17">
        <v>15</v>
      </c>
      <c r="B17">
        <f t="shared" si="0"/>
        <v>75</v>
      </c>
      <c r="C17">
        <f t="shared" si="1"/>
        <v>123.32809858583016</v>
      </c>
      <c r="D17">
        <f t="shared" si="2"/>
        <v>2.212398410986518</v>
      </c>
      <c r="E17">
        <f t="shared" si="3"/>
        <v>134.39009064076276</v>
      </c>
      <c r="F17">
        <f t="shared" si="4"/>
        <v>2.1538052271746011</v>
      </c>
      <c r="G17">
        <f t="shared" si="5"/>
        <v>134.24360768123296</v>
      </c>
    </row>
    <row r="18" spans="1:7" x14ac:dyDescent="0.35">
      <c r="A18">
        <v>16</v>
      </c>
      <c r="B18">
        <f>B17+$H$2</f>
        <v>80</v>
      </c>
      <c r="C18">
        <f>G17</f>
        <v>134.24360768123296</v>
      </c>
      <c r="D18">
        <f>0.3*C18^(3/4)*(1-(C18/300)^(1/4))</f>
        <v>2.1546829807840071</v>
      </c>
      <c r="E18">
        <f>C18+$H$2*D18</f>
        <v>145.017022585153</v>
      </c>
      <c r="F18">
        <f>0.3*E18^(3/4)*(1-(E18/300)^(1/4))</f>
        <v>2.0833085089822014</v>
      </c>
      <c r="G18">
        <f>C18+$H$2*(D18+F18)/2</f>
        <v>144.83858640564847</v>
      </c>
    </row>
    <row r="19" spans="1:7" x14ac:dyDescent="0.35">
      <c r="A19">
        <v>17</v>
      </c>
      <c r="B19">
        <f>B18+$H$2</f>
        <v>85</v>
      </c>
      <c r="C19">
        <f>G18</f>
        <v>144.83858640564847</v>
      </c>
      <c r="D19">
        <f>0.3*C19^(3/4)*(1-(C19/300)^(1/4))</f>
        <v>2.0845997872456055</v>
      </c>
      <c r="E19">
        <f>C19+$H$2*D19</f>
        <v>155.2615853418765</v>
      </c>
      <c r="F19">
        <f>0.3*E19^(3/4)*(1-(E19/300)^(1/4))</f>
        <v>2.0033706700679903</v>
      </c>
      <c r="G19">
        <f>C19+$H$2*(D19+F19)/2</f>
        <v>155.05851254893247</v>
      </c>
    </row>
    <row r="20" spans="1:7" x14ac:dyDescent="0.35">
      <c r="A20">
        <v>18</v>
      </c>
      <c r="B20">
        <f t="shared" ref="B20:B43" si="6">B19+$H$2</f>
        <v>90</v>
      </c>
      <c r="C20">
        <f t="shared" ref="C20:C43" si="7">G19</f>
        <v>155.05851254893247</v>
      </c>
      <c r="D20">
        <f t="shared" ref="D20:D71" si="8">0.3*C20^(3/4)*(1-(C20/300)^(1/4))</f>
        <v>2.0050629288142052</v>
      </c>
      <c r="E20">
        <f t="shared" ref="E20:E43" si="9">C20+$H$2*D20</f>
        <v>165.08382719300349</v>
      </c>
      <c r="F20">
        <f t="shared" ref="F20:F71" si="10">0.3*E20^(3/4)*(1-(E20/300)^(1/4))</f>
        <v>1.9165920887427768</v>
      </c>
      <c r="G20">
        <f t="shared" ref="G20:G43" si="11">C20+$H$2*(D20+F20)/2</f>
        <v>164.86265009282494</v>
      </c>
    </row>
    <row r="21" spans="1:7" x14ac:dyDescent="0.35">
      <c r="A21">
        <v>19</v>
      </c>
      <c r="B21">
        <f t="shared" si="6"/>
        <v>95</v>
      </c>
      <c r="C21">
        <f t="shared" si="7"/>
        <v>164.86265009282494</v>
      </c>
      <c r="D21">
        <f t="shared" si="8"/>
        <v>1.9186497454931684</v>
      </c>
      <c r="E21">
        <f t="shared" si="9"/>
        <v>174.45589882029077</v>
      </c>
      <c r="F21">
        <f t="shared" si="10"/>
        <v>1.8252241081546088</v>
      </c>
      <c r="G21">
        <f t="shared" si="11"/>
        <v>174.22233472694438</v>
      </c>
    </row>
    <row r="22" spans="1:7" x14ac:dyDescent="0.35">
      <c r="A22">
        <v>20</v>
      </c>
      <c r="B22">
        <f t="shared" si="6"/>
        <v>100</v>
      </c>
      <c r="C22">
        <f t="shared" si="7"/>
        <v>174.22233472694438</v>
      </c>
      <c r="D22">
        <f t="shared" si="8"/>
        <v>1.827598037996788</v>
      </c>
      <c r="E22">
        <f t="shared" si="9"/>
        <v>183.36032491692833</v>
      </c>
      <c r="F22">
        <f t="shared" si="10"/>
        <v>1.7311833279323017</v>
      </c>
      <c r="G22">
        <f t="shared" si="11"/>
        <v>183.1192881417671</v>
      </c>
    </row>
    <row r="23" spans="1:7" x14ac:dyDescent="0.35">
      <c r="A23">
        <v>21</v>
      </c>
      <c r="B23">
        <f t="shared" si="6"/>
        <v>105</v>
      </c>
      <c r="C23">
        <f t="shared" si="7"/>
        <v>183.1192881417671</v>
      </c>
      <c r="D23">
        <f t="shared" si="8"/>
        <v>1.7338178506842949</v>
      </c>
      <c r="E23">
        <f t="shared" si="9"/>
        <v>191.78837739518858</v>
      </c>
      <c r="F23">
        <f t="shared" si="10"/>
        <v>1.6360747510498181</v>
      </c>
      <c r="G23">
        <f t="shared" si="11"/>
        <v>191.54401964610238</v>
      </c>
    </row>
    <row r="24" spans="1:7" x14ac:dyDescent="0.35">
      <c r="A24">
        <v>22</v>
      </c>
      <c r="B24">
        <f t="shared" si="6"/>
        <v>110</v>
      </c>
      <c r="C24">
        <f t="shared" si="7"/>
        <v>191.54401964610238</v>
      </c>
      <c r="D24">
        <f t="shared" si="8"/>
        <v>1.6389125954762251</v>
      </c>
      <c r="E24">
        <f t="shared" si="9"/>
        <v>199.73858262348352</v>
      </c>
      <c r="F24">
        <f t="shared" si="10"/>
        <v>1.5412199305191747</v>
      </c>
      <c r="G24">
        <f t="shared" si="11"/>
        <v>199.49435096109087</v>
      </c>
    </row>
    <row r="25" spans="1:7" x14ac:dyDescent="0.35">
      <c r="A25">
        <v>23</v>
      </c>
      <c r="B25">
        <f t="shared" si="6"/>
        <v>115</v>
      </c>
      <c r="C25">
        <f t="shared" si="7"/>
        <v>199.49435096109087</v>
      </c>
      <c r="D25">
        <f t="shared" si="8"/>
        <v>1.5442056123049119</v>
      </c>
      <c r="E25">
        <f t="shared" si="9"/>
        <v>207.21537902261542</v>
      </c>
      <c r="F25">
        <f t="shared" si="10"/>
        <v>1.4476873364246605</v>
      </c>
      <c r="G25">
        <f t="shared" si="11"/>
        <v>206.9740833329148</v>
      </c>
    </row>
    <row r="26" spans="1:7" x14ac:dyDescent="0.35">
      <c r="A26">
        <v>24</v>
      </c>
      <c r="B26">
        <f t="shared" si="6"/>
        <v>120</v>
      </c>
      <c r="C26">
        <f t="shared" si="7"/>
        <v>206.9740833329148</v>
      </c>
      <c r="D26">
        <f t="shared" si="8"/>
        <v>1.4507693235698222</v>
      </c>
      <c r="E26">
        <f t="shared" si="9"/>
        <v>214.22792995076392</v>
      </c>
      <c r="F26">
        <f t="shared" si="10"/>
        <v>1.3563230011169791</v>
      </c>
      <c r="G26">
        <f t="shared" si="11"/>
        <v>213.9918141446318</v>
      </c>
    </row>
    <row r="27" spans="1:7" x14ac:dyDescent="0.35">
      <c r="A27">
        <v>25</v>
      </c>
      <c r="B27">
        <f t="shared" si="6"/>
        <v>125</v>
      </c>
      <c r="C27">
        <f t="shared" si="7"/>
        <v>213.9918141446318</v>
      </c>
      <c r="D27">
        <f t="shared" si="8"/>
        <v>1.3594549753675997</v>
      </c>
      <c r="E27">
        <f t="shared" si="9"/>
        <v>220.78908902146981</v>
      </c>
      <c r="F27">
        <f t="shared" si="10"/>
        <v>1.2677801393064914</v>
      </c>
      <c r="G27">
        <f t="shared" si="11"/>
        <v>220.55990193131703</v>
      </c>
    </row>
    <row r="28" spans="1:7" x14ac:dyDescent="0.35">
      <c r="A28">
        <v>26</v>
      </c>
      <c r="B28">
        <f t="shared" si="6"/>
        <v>130</v>
      </c>
      <c r="C28">
        <f t="shared" si="7"/>
        <v>220.55990193131703</v>
      </c>
      <c r="D28">
        <f t="shared" si="8"/>
        <v>1.2709216015636557</v>
      </c>
      <c r="E28">
        <f t="shared" si="9"/>
        <v>226.91450993913531</v>
      </c>
      <c r="F28">
        <f t="shared" si="10"/>
        <v>1.1825469179634494</v>
      </c>
      <c r="G28">
        <f t="shared" si="11"/>
        <v>226.6935732301348</v>
      </c>
    </row>
    <row r="29" spans="1:7" x14ac:dyDescent="0.35">
      <c r="A29">
        <v>27</v>
      </c>
      <c r="B29">
        <f t="shared" si="6"/>
        <v>135</v>
      </c>
      <c r="C29">
        <f t="shared" si="7"/>
        <v>226.6935732301348</v>
      </c>
      <c r="D29">
        <f t="shared" si="8"/>
        <v>1.1856633322780741</v>
      </c>
      <c r="E29">
        <f t="shared" si="9"/>
        <v>232.62188989152517</v>
      </c>
      <c r="F29">
        <f t="shared" si="10"/>
        <v>1.100971901533883</v>
      </c>
      <c r="G29">
        <f t="shared" si="11"/>
        <v>232.41016131466469</v>
      </c>
    </row>
    <row r="30" spans="1:7" x14ac:dyDescent="0.35">
      <c r="A30">
        <v>28</v>
      </c>
      <c r="B30">
        <f t="shared" si="6"/>
        <v>140</v>
      </c>
      <c r="C30">
        <f t="shared" si="7"/>
        <v>232.41016131466469</v>
      </c>
      <c r="D30">
        <f t="shared" si="8"/>
        <v>1.1040345272388534</v>
      </c>
      <c r="E30">
        <f t="shared" si="9"/>
        <v>237.93033395085897</v>
      </c>
      <c r="F30">
        <f t="shared" si="10"/>
        <v>1.0232869491526118</v>
      </c>
      <c r="G30">
        <f t="shared" si="11"/>
        <v>237.72846500564336</v>
      </c>
    </row>
    <row r="31" spans="1:7" x14ac:dyDescent="0.35">
      <c r="A31">
        <v>29</v>
      </c>
      <c r="B31">
        <f t="shared" si="6"/>
        <v>145</v>
      </c>
      <c r="C31">
        <f t="shared" si="7"/>
        <v>237.72846500564336</v>
      </c>
      <c r="D31">
        <f t="shared" si="8"/>
        <v>1.0262724737249838</v>
      </c>
      <c r="E31">
        <f t="shared" si="9"/>
        <v>242.85982737426826</v>
      </c>
      <c r="F31">
        <f t="shared" si="10"/>
        <v>0.94962751548098479</v>
      </c>
      <c r="G31">
        <f t="shared" si="11"/>
        <v>242.66821497865828</v>
      </c>
    </row>
    <row r="32" spans="1:7" x14ac:dyDescent="0.35">
      <c r="A32">
        <v>30</v>
      </c>
      <c r="B32">
        <f t="shared" si="6"/>
        <v>150</v>
      </c>
      <c r="C32">
        <f t="shared" si="7"/>
        <v>242.66821497865828</v>
      </c>
      <c r="D32">
        <f t="shared" si="8"/>
        <v>0.9525175711105206</v>
      </c>
      <c r="E32">
        <f t="shared" si="9"/>
        <v>247.43080283421088</v>
      </c>
      <c r="F32">
        <f t="shared" si="10"/>
        <v>0.88005042423574975</v>
      </c>
      <c r="G32">
        <f t="shared" si="11"/>
        <v>247.24963496702395</v>
      </c>
    </row>
    <row r="33" spans="1:7" x14ac:dyDescent="0.35">
      <c r="A33">
        <v>31</v>
      </c>
      <c r="B33">
        <f t="shared" si="6"/>
        <v>155</v>
      </c>
      <c r="C33">
        <f t="shared" si="7"/>
        <v>247.24963496702395</v>
      </c>
      <c r="D33">
        <f t="shared" si="8"/>
        <v>0.88283104780959898</v>
      </c>
      <c r="E33">
        <f t="shared" si="9"/>
        <v>251.66379020607195</v>
      </c>
      <c r="F33">
        <f t="shared" si="10"/>
        <v>0.81454925824128543</v>
      </c>
      <c r="G33">
        <f t="shared" si="11"/>
        <v>251.49308573215117</v>
      </c>
    </row>
    <row r="34" spans="1:7" x14ac:dyDescent="0.35">
      <c r="A34">
        <v>32</v>
      </c>
      <c r="B34">
        <f t="shared" si="6"/>
        <v>160</v>
      </c>
      <c r="C34">
        <f t="shared" si="7"/>
        <v>251.49308573215117</v>
      </c>
      <c r="D34">
        <f t="shared" si="8"/>
        <v>0.81721033650182762</v>
      </c>
      <c r="E34">
        <f t="shared" si="9"/>
        <v>255.57913741466032</v>
      </c>
      <c r="F34">
        <f t="shared" si="10"/>
        <v>0.753067553507204</v>
      </c>
      <c r="G34">
        <f t="shared" si="11"/>
        <v>255.41878045717374</v>
      </c>
    </row>
    <row r="35" spans="1:7" x14ac:dyDescent="0.35">
      <c r="A35">
        <v>33</v>
      </c>
      <c r="B35">
        <f t="shared" si="6"/>
        <v>165</v>
      </c>
      <c r="C35">
        <f t="shared" si="7"/>
        <v>255.41878045717374</v>
      </c>
      <c r="D35">
        <f t="shared" si="8"/>
        <v>0.75560228152333042</v>
      </c>
      <c r="E35">
        <f t="shared" si="9"/>
        <v>259.19679186479038</v>
      </c>
      <c r="F35">
        <f t="shared" si="10"/>
        <v>0.69551000631349669</v>
      </c>
      <c r="G35">
        <f t="shared" si="11"/>
        <v>259.04656117676581</v>
      </c>
    </row>
    <row r="36" spans="1:7" x14ac:dyDescent="0.35">
      <c r="A36">
        <v>34</v>
      </c>
      <c r="B36">
        <f t="shared" si="6"/>
        <v>170</v>
      </c>
      <c r="C36">
        <f t="shared" si="7"/>
        <v>259.04656117676581</v>
      </c>
      <c r="D36">
        <f t="shared" si="8"/>
        <v>0.69791437725670169</v>
      </c>
      <c r="E36">
        <f t="shared" si="9"/>
        <v>262.53613306304931</v>
      </c>
      <c r="F36">
        <f t="shared" si="10"/>
        <v>0.64175190833602791</v>
      </c>
      <c r="G36">
        <f t="shared" si="11"/>
        <v>262.39572689074765</v>
      </c>
    </row>
    <row r="37" spans="1:7" x14ac:dyDescent="0.35">
      <c r="A37">
        <v>35</v>
      </c>
      <c r="B37">
        <f t="shared" si="6"/>
        <v>175</v>
      </c>
      <c r="C37">
        <f t="shared" si="7"/>
        <v>262.39572689074765</v>
      </c>
      <c r="D37">
        <f t="shared" si="8"/>
        <v>0.64402424512995093</v>
      </c>
      <c r="E37">
        <f t="shared" si="9"/>
        <v>265.61584811639739</v>
      </c>
      <c r="F37">
        <f t="shared" si="10"/>
        <v>0.59164702052667784</v>
      </c>
      <c r="G37">
        <f t="shared" si="11"/>
        <v>265.48490505488923</v>
      </c>
    </row>
    <row r="38" spans="1:7" x14ac:dyDescent="0.35">
      <c r="A38">
        <v>36</v>
      </c>
      <c r="B38">
        <f t="shared" si="6"/>
        <v>180</v>
      </c>
      <c r="C38">
        <f t="shared" si="7"/>
        <v>265.48490505488923</v>
      </c>
      <c r="D38">
        <f t="shared" si="8"/>
        <v>0.59378755462610611</v>
      </c>
      <c r="E38">
        <f t="shared" si="9"/>
        <v>268.45384282801973</v>
      </c>
      <c r="F38">
        <f t="shared" si="10"/>
        <v>0.54503408550749555</v>
      </c>
      <c r="G38">
        <f t="shared" si="11"/>
        <v>268.33195915522322</v>
      </c>
    </row>
    <row r="39" spans="1:7" x14ac:dyDescent="0.35">
      <c r="A39">
        <v>37</v>
      </c>
      <c r="B39">
        <f t="shared" si="6"/>
        <v>185</v>
      </c>
      <c r="C39">
        <f t="shared" si="7"/>
        <v>268.33195915522322</v>
      </c>
      <c r="D39">
        <f t="shared" si="8"/>
        <v>0.54704458435986281</v>
      </c>
      <c r="E39">
        <f t="shared" si="9"/>
        <v>271.06718207702255</v>
      </c>
      <c r="F39">
        <f t="shared" si="10"/>
        <v>0.50174216335604993</v>
      </c>
      <c r="G39">
        <f t="shared" si="11"/>
        <v>270.95392602451301</v>
      </c>
    </row>
    <row r="40" spans="1:7" x14ac:dyDescent="0.35">
      <c r="A40">
        <v>38</v>
      </c>
      <c r="B40">
        <f t="shared" si="6"/>
        <v>190</v>
      </c>
      <c r="C40">
        <f t="shared" si="7"/>
        <v>270.95392602451301</v>
      </c>
      <c r="D40">
        <f t="shared" si="8"/>
        <v>0.5036256056050552</v>
      </c>
      <c r="E40">
        <f t="shared" si="9"/>
        <v>273.47205405253828</v>
      </c>
      <c r="F40">
        <f t="shared" si="10"/>
        <v>0.46159495877705392</v>
      </c>
      <c r="G40">
        <f t="shared" si="11"/>
        <v>273.3669774354683</v>
      </c>
    </row>
    <row r="41" spans="1:7" x14ac:dyDescent="0.35">
      <c r="A41">
        <v>39</v>
      </c>
      <c r="B41">
        <f t="shared" si="6"/>
        <v>195</v>
      </c>
      <c r="C41">
        <f t="shared" si="7"/>
        <v>273.3669774354683</v>
      </c>
      <c r="D41">
        <f t="shared" si="8"/>
        <v>0.46335525467023125</v>
      </c>
      <c r="E41">
        <f t="shared" si="9"/>
        <v>275.68375370881944</v>
      </c>
      <c r="F41">
        <f t="shared" si="10"/>
        <v>0.42441429011354365</v>
      </c>
      <c r="G41">
        <f t="shared" si="11"/>
        <v>275.58640129742776</v>
      </c>
    </row>
    <row r="42" spans="1:7" x14ac:dyDescent="0.35">
      <c r="A42">
        <v>40</v>
      </c>
      <c r="B42">
        <f t="shared" si="6"/>
        <v>200</v>
      </c>
      <c r="C42">
        <f t="shared" si="7"/>
        <v>275.58640129742776</v>
      </c>
      <c r="D42">
        <f t="shared" si="8"/>
        <v>0.42605604362911159</v>
      </c>
      <c r="E42">
        <f t="shared" si="9"/>
        <v>277.71668151557333</v>
      </c>
      <c r="F42">
        <f t="shared" si="10"/>
        <v>0.39002283335013821</v>
      </c>
      <c r="G42">
        <f t="shared" si="11"/>
        <v>277.6265984898759</v>
      </c>
    </row>
    <row r="43" spans="1:7" x14ac:dyDescent="0.35">
      <c r="A43">
        <v>41</v>
      </c>
      <c r="B43">
        <f t="shared" si="6"/>
        <v>205</v>
      </c>
      <c r="C43">
        <f t="shared" si="7"/>
        <v>277.6265984898759</v>
      </c>
      <c r="D43">
        <f t="shared" si="8"/>
        <v>0.39155114207667174</v>
      </c>
      <c r="E43">
        <f t="shared" si="9"/>
        <v>279.58435420025927</v>
      </c>
      <c r="F43">
        <f t="shared" si="10"/>
        <v>0.3582462577815943</v>
      </c>
      <c r="G43">
        <f t="shared" si="11"/>
        <v>279.50109198952157</v>
      </c>
    </row>
    <row r="44" spans="1:7" x14ac:dyDescent="0.35">
      <c r="A44">
        <v>42</v>
      </c>
      <c r="B44">
        <f t="shared" ref="B44:B71" si="12">B43+$H$2</f>
        <v>210</v>
      </c>
      <c r="C44">
        <f t="shared" ref="C44:C71" si="13">G43</f>
        <v>279.50109198952157</v>
      </c>
      <c r="D44">
        <f t="shared" si="8"/>
        <v>0.35966654642545554</v>
      </c>
      <c r="E44">
        <f t="shared" ref="E44:E71" si="14">C44+$H$2*D44</f>
        <v>281.29942472164885</v>
      </c>
      <c r="F44">
        <f t="shared" si="10"/>
        <v>0.32891485470845405</v>
      </c>
      <c r="G44">
        <f t="shared" ref="G44:G71" si="15">C44+$H$2*(D44+F44)/2</f>
        <v>281.22254549235635</v>
      </c>
    </row>
    <row r="45" spans="1:7" x14ac:dyDescent="0.35">
      <c r="A45">
        <v>43</v>
      </c>
      <c r="B45">
        <f t="shared" si="12"/>
        <v>215</v>
      </c>
      <c r="C45">
        <f t="shared" si="13"/>
        <v>281.22254549235635</v>
      </c>
      <c r="D45">
        <f t="shared" si="8"/>
        <v>0.33023273816302684</v>
      </c>
      <c r="E45">
        <f t="shared" si="14"/>
        <v>282.87370918317146</v>
      </c>
      <c r="F45">
        <f t="shared" si="10"/>
        <v>0.30186474655995044</v>
      </c>
      <c r="G45">
        <f t="shared" si="15"/>
        <v>282.80278920416379</v>
      </c>
    </row>
    <row r="46" spans="1:7" x14ac:dyDescent="0.35">
      <c r="A46">
        <v>44</v>
      </c>
      <c r="B46">
        <f t="shared" si="12"/>
        <v>220</v>
      </c>
      <c r="C46">
        <f t="shared" si="13"/>
        <v>282.80278920416379</v>
      </c>
      <c r="D46">
        <f t="shared" si="8"/>
        <v>0.3030859186697934</v>
      </c>
      <c r="E46">
        <f t="shared" si="14"/>
        <v>284.31821879751277</v>
      </c>
      <c r="F46">
        <f t="shared" si="10"/>
        <v>0.27693875129910323</v>
      </c>
      <c r="G46">
        <f t="shared" si="15"/>
        <v>284.25285087908605</v>
      </c>
    </row>
    <row r="47" spans="1:7" x14ac:dyDescent="0.35">
      <c r="A47">
        <v>45</v>
      </c>
      <c r="B47">
        <f t="shared" si="12"/>
        <v>225</v>
      </c>
      <c r="C47">
        <f t="shared" si="13"/>
        <v>284.25285087908605</v>
      </c>
      <c r="D47">
        <f t="shared" si="8"/>
        <v>0.27806889573478083</v>
      </c>
      <c r="E47">
        <f t="shared" si="14"/>
        <v>285.64319535775996</v>
      </c>
      <c r="F47">
        <f t="shared" si="10"/>
        <v>0.25398696582519298</v>
      </c>
      <c r="G47">
        <f t="shared" si="15"/>
        <v>285.582990532986</v>
      </c>
    </row>
    <row r="48" spans="1:7" x14ac:dyDescent="0.35">
      <c r="A48">
        <v>46</v>
      </c>
      <c r="B48">
        <f t="shared" si="12"/>
        <v>230</v>
      </c>
      <c r="C48">
        <f t="shared" si="13"/>
        <v>285.582990532986</v>
      </c>
      <c r="D48">
        <f t="shared" si="8"/>
        <v>0.25503168581073815</v>
      </c>
      <c r="E48">
        <f t="shared" si="14"/>
        <v>286.85814896203971</v>
      </c>
      <c r="F48">
        <f t="shared" si="10"/>
        <v>0.23286712229412665</v>
      </c>
      <c r="G48">
        <f t="shared" si="15"/>
        <v>286.80273755324816</v>
      </c>
    </row>
    <row r="49" spans="1:7" x14ac:dyDescent="0.35">
      <c r="A49">
        <v>47</v>
      </c>
      <c r="B49">
        <f t="shared" si="12"/>
        <v>235</v>
      </c>
      <c r="C49">
        <f t="shared" si="13"/>
        <v>286.80273755324816</v>
      </c>
      <c r="D49">
        <f t="shared" si="8"/>
        <v>0.23383188627092596</v>
      </c>
      <c r="E49">
        <f t="shared" si="14"/>
        <v>287.97189698460278</v>
      </c>
      <c r="F49">
        <f t="shared" si="10"/>
        <v>0.21344476273639226</v>
      </c>
      <c r="G49">
        <f t="shared" si="15"/>
        <v>287.92092917576645</v>
      </c>
    </row>
    <row r="50" spans="1:7" x14ac:dyDescent="0.35">
      <c r="A50">
        <v>48</v>
      </c>
      <c r="B50">
        <f t="shared" si="12"/>
        <v>240</v>
      </c>
      <c r="C50">
        <f t="shared" si="13"/>
        <v>287.92092917576645</v>
      </c>
      <c r="D50">
        <f t="shared" si="8"/>
        <v>0.21433486338597546</v>
      </c>
      <c r="E50">
        <f t="shared" si="14"/>
        <v>288.99260349269633</v>
      </c>
      <c r="F50">
        <f t="shared" si="10"/>
        <v>0.19559326995822066</v>
      </c>
      <c r="G50">
        <f t="shared" si="15"/>
        <v>288.94574950912693</v>
      </c>
    </row>
    <row r="51" spans="1:7" x14ac:dyDescent="0.35">
      <c r="A51">
        <v>49</v>
      </c>
      <c r="B51">
        <f t="shared" si="12"/>
        <v>245</v>
      </c>
      <c r="C51">
        <f t="shared" si="13"/>
        <v>288.94574950912693</v>
      </c>
      <c r="D51">
        <f t="shared" si="8"/>
        <v>0.19641379432994244</v>
      </c>
      <c r="E51">
        <f t="shared" si="14"/>
        <v>289.92781848077664</v>
      </c>
      <c r="F51">
        <f t="shared" si="10"/>
        <v>0.17919378635088823</v>
      </c>
      <c r="G51">
        <f t="shared" si="15"/>
        <v>289.88476846082898</v>
      </c>
    </row>
    <row r="52" spans="1:7" x14ac:dyDescent="0.35">
      <c r="A52">
        <v>50</v>
      </c>
      <c r="B52">
        <f t="shared" si="12"/>
        <v>250</v>
      </c>
      <c r="C52">
        <f t="shared" si="13"/>
        <v>289.88476846082898</v>
      </c>
      <c r="D52">
        <f t="shared" si="8"/>
        <v>0.17994959514134562</v>
      </c>
      <c r="E52">
        <f t="shared" si="14"/>
        <v>290.78451643653568</v>
      </c>
      <c r="F52">
        <f t="shared" si="10"/>
        <v>0.16413504679208513</v>
      </c>
      <c r="G52">
        <f t="shared" si="15"/>
        <v>290.74498006566256</v>
      </c>
    </row>
    <row r="53" spans="1:7" x14ac:dyDescent="0.35">
      <c r="A53">
        <v>51</v>
      </c>
      <c r="B53">
        <f t="shared" si="12"/>
        <v>255</v>
      </c>
      <c r="C53">
        <f t="shared" si="13"/>
        <v>290.74498006566256</v>
      </c>
      <c r="D53">
        <f t="shared" si="8"/>
        <v>0.16483076109772402</v>
      </c>
      <c r="E53">
        <f t="shared" si="14"/>
        <v>291.56913387115117</v>
      </c>
      <c r="F53">
        <f t="shared" si="10"/>
        <v>0.15031314719339053</v>
      </c>
      <c r="G53">
        <f t="shared" si="15"/>
        <v>291.53283983639034</v>
      </c>
    </row>
    <row r="54" spans="1:7" x14ac:dyDescent="0.35">
      <c r="A54">
        <v>52</v>
      </c>
      <c r="B54">
        <f t="shared" si="12"/>
        <v>260</v>
      </c>
      <c r="C54">
        <f t="shared" si="13"/>
        <v>291.53283983639034</v>
      </c>
      <c r="D54">
        <f t="shared" si="8"/>
        <v>0.15095314130427651</v>
      </c>
      <c r="E54">
        <f t="shared" si="14"/>
        <v>292.28760554291171</v>
      </c>
      <c r="F54">
        <f t="shared" si="10"/>
        <v>0.13763126632692493</v>
      </c>
      <c r="G54">
        <f t="shared" si="15"/>
        <v>292.25430085546833</v>
      </c>
    </row>
    <row r="55" spans="1:7" x14ac:dyDescent="0.35">
      <c r="A55">
        <v>53</v>
      </c>
      <c r="B55">
        <f t="shared" si="12"/>
        <v>265</v>
      </c>
      <c r="C55">
        <f t="shared" si="13"/>
        <v>292.25430085546833</v>
      </c>
      <c r="D55">
        <f t="shared" si="8"/>
        <v>0.13821966534850663</v>
      </c>
      <c r="E55">
        <f t="shared" si="14"/>
        <v>292.94539918221085</v>
      </c>
      <c r="F55">
        <f t="shared" si="10"/>
        <v>0.12599935525891989</v>
      </c>
      <c r="G55">
        <f t="shared" si="15"/>
        <v>292.91484840698689</v>
      </c>
    </row>
    <row r="56" spans="1:7" x14ac:dyDescent="0.35">
      <c r="A56">
        <v>54</v>
      </c>
      <c r="B56">
        <f t="shared" si="12"/>
        <v>270</v>
      </c>
      <c r="C56">
        <f t="shared" si="13"/>
        <v>292.91484840698689</v>
      </c>
      <c r="D56">
        <f t="shared" si="8"/>
        <v>0.12654003654072929</v>
      </c>
      <c r="E56">
        <f t="shared" si="14"/>
        <v>293.54754858969056</v>
      </c>
      <c r="F56">
        <f t="shared" si="10"/>
        <v>0.1153338059438789</v>
      </c>
      <c r="G56">
        <f t="shared" si="15"/>
        <v>293.51953301319838</v>
      </c>
    </row>
    <row r="57" spans="1:7" x14ac:dyDescent="0.35">
      <c r="A57">
        <v>55</v>
      </c>
      <c r="B57">
        <f t="shared" si="12"/>
        <v>275</v>
      </c>
      <c r="C57">
        <f t="shared" si="13"/>
        <v>293.51953301319838</v>
      </c>
      <c r="D57">
        <f t="shared" si="8"/>
        <v>0.11583040346142062</v>
      </c>
      <c r="E57">
        <f t="shared" si="14"/>
        <v>294.09868503050546</v>
      </c>
      <c r="F57">
        <f t="shared" si="10"/>
        <v>0.10555710821489722</v>
      </c>
      <c r="G57">
        <f t="shared" si="15"/>
        <v>294.07300179238916</v>
      </c>
    </row>
    <row r="58" spans="1:7" x14ac:dyDescent="0.35">
      <c r="A58">
        <v>56</v>
      </c>
      <c r="B58">
        <f t="shared" si="12"/>
        <v>280</v>
      </c>
      <c r="C58">
        <f t="shared" si="13"/>
        <v>294.07300179238916</v>
      </c>
      <c r="D58">
        <f t="shared" si="8"/>
        <v>0.10601301919540827</v>
      </c>
      <c r="E58">
        <f t="shared" si="14"/>
        <v>294.60306688836619</v>
      </c>
      <c r="F58">
        <f t="shared" si="10"/>
        <v>9.6597502477007421E-2</v>
      </c>
      <c r="G58">
        <f t="shared" si="15"/>
        <v>294.57952809657019</v>
      </c>
    </row>
    <row r="59" spans="1:7" x14ac:dyDescent="0.35">
      <c r="A59">
        <v>57</v>
      </c>
      <c r="B59">
        <f t="shared" si="12"/>
        <v>285</v>
      </c>
      <c r="C59">
        <f t="shared" si="13"/>
        <v>294.57952809657019</v>
      </c>
      <c r="D59">
        <f t="shared" si="8"/>
        <v>9.7015895683857351E-2</v>
      </c>
      <c r="E59">
        <f t="shared" si="14"/>
        <v>295.06460757498945</v>
      </c>
      <c r="F59">
        <f t="shared" si="10"/>
        <v>8.8388633813108075E-2</v>
      </c>
      <c r="G59">
        <f t="shared" si="15"/>
        <v>295.0430394203126</v>
      </c>
    </row>
    <row r="60" spans="1:7" x14ac:dyDescent="0.35">
      <c r="A60">
        <v>58</v>
      </c>
      <c r="B60">
        <f t="shared" si="12"/>
        <v>290</v>
      </c>
      <c r="C60">
        <f t="shared" si="13"/>
        <v>295.0430394203126</v>
      </c>
      <c r="D60">
        <f t="shared" si="8"/>
        <v>8.8772459009221968E-2</v>
      </c>
      <c r="E60">
        <f t="shared" si="14"/>
        <v>295.48690171535873</v>
      </c>
      <c r="F60">
        <f t="shared" si="10"/>
        <v>8.0869211894920232E-2</v>
      </c>
      <c r="G60">
        <f t="shared" si="15"/>
        <v>295.46714359757294</v>
      </c>
    </row>
    <row r="61" spans="1:7" x14ac:dyDescent="0.35">
      <c r="A61">
        <v>59</v>
      </c>
      <c r="B61">
        <f t="shared" si="12"/>
        <v>295</v>
      </c>
      <c r="C61">
        <f t="shared" si="13"/>
        <v>295.46714359757294</v>
      </c>
      <c r="D61">
        <f t="shared" si="8"/>
        <v>8.1221210095438506E-2</v>
      </c>
      <c r="E61">
        <f t="shared" si="14"/>
        <v>295.87324964805015</v>
      </c>
      <c r="F61">
        <f t="shared" si="10"/>
        <v>7.3982680011413213E-2</v>
      </c>
      <c r="G61">
        <f t="shared" si="15"/>
        <v>295.85515332284007</v>
      </c>
    </row>
    <row r="62" spans="1:7" x14ac:dyDescent="0.35">
      <c r="A62">
        <v>60</v>
      </c>
      <c r="B62">
        <f t="shared" si="12"/>
        <v>300</v>
      </c>
      <c r="C62">
        <f t="shared" si="13"/>
        <v>295.85515332284007</v>
      </c>
      <c r="D62">
        <f t="shared" si="8"/>
        <v>7.4305394211241577E-2</v>
      </c>
      <c r="E62">
        <f t="shared" si="14"/>
        <v>296.22668029389627</v>
      </c>
      <c r="F62">
        <f t="shared" si="10"/>
        <v>6.7676895645595758E-2</v>
      </c>
      <c r="G62">
        <f t="shared" si="15"/>
        <v>296.21010904748215</v>
      </c>
    </row>
    <row r="63" spans="1:7" x14ac:dyDescent="0.35">
      <c r="A63">
        <v>61</v>
      </c>
      <c r="B63">
        <f t="shared" si="12"/>
        <v>305</v>
      </c>
      <c r="C63">
        <f t="shared" si="13"/>
        <v>296.21010904748215</v>
      </c>
      <c r="D63">
        <f t="shared" si="8"/>
        <v>6.7972681771146626E-2</v>
      </c>
      <c r="E63">
        <f t="shared" si="14"/>
        <v>296.54997245633785</v>
      </c>
      <c r="F63">
        <f t="shared" si="10"/>
        <v>6.1903824316129653E-2</v>
      </c>
      <c r="G63">
        <f t="shared" si="15"/>
        <v>296.53480031270033</v>
      </c>
    </row>
    <row r="64" spans="1:7" x14ac:dyDescent="0.35">
      <c r="A64">
        <v>62</v>
      </c>
      <c r="B64">
        <f t="shared" si="12"/>
        <v>310</v>
      </c>
      <c r="C64">
        <f t="shared" si="13"/>
        <v>296.53480031270033</v>
      </c>
      <c r="D64">
        <f t="shared" si="8"/>
        <v>6.2174862203347468E-2</v>
      </c>
      <c r="E64">
        <f t="shared" si="14"/>
        <v>296.84567462371706</v>
      </c>
      <c r="F64">
        <f t="shared" si="10"/>
        <v>5.6619247824466111E-2</v>
      </c>
      <c r="G64">
        <f t="shared" si="15"/>
        <v>296.83178558776984</v>
      </c>
    </row>
    <row r="65" spans="1:7" x14ac:dyDescent="0.35">
      <c r="A65">
        <v>63</v>
      </c>
      <c r="B65">
        <f t="shared" si="12"/>
        <v>315</v>
      </c>
      <c r="C65">
        <f t="shared" si="13"/>
        <v>296.83178558776984</v>
      </c>
      <c r="D65">
        <f t="shared" si="8"/>
        <v>5.6867552069347377E-2</v>
      </c>
      <c r="E65">
        <f t="shared" si="14"/>
        <v>297.11612334811656</v>
      </c>
      <c r="F65">
        <f t="shared" si="10"/>
        <v>5.178248758840083E-2</v>
      </c>
      <c r="G65">
        <f t="shared" si="15"/>
        <v>297.10341068691423</v>
      </c>
    </row>
    <row r="66" spans="1:7" x14ac:dyDescent="0.35">
      <c r="A66">
        <v>64</v>
      </c>
      <c r="B66">
        <f t="shared" si="12"/>
        <v>320</v>
      </c>
      <c r="C66">
        <f t="shared" si="13"/>
        <v>297.10341068691423</v>
      </c>
      <c r="D66">
        <f t="shared" si="8"/>
        <v>5.2009918152485089E-2</v>
      </c>
      <c r="E66">
        <f t="shared" si="14"/>
        <v>297.36346027767667</v>
      </c>
      <c r="F66">
        <f t="shared" si="10"/>
        <v>4.7356143378795186E-2</v>
      </c>
      <c r="G66">
        <f t="shared" si="15"/>
        <v>297.35182584074244</v>
      </c>
    </row>
    <row r="67" spans="1:7" x14ac:dyDescent="0.35">
      <c r="A67">
        <v>65</v>
      </c>
      <c r="B67">
        <f t="shared" si="12"/>
        <v>325</v>
      </c>
      <c r="C67">
        <f t="shared" si="13"/>
        <v>297.35182584074244</v>
      </c>
      <c r="D67">
        <f t="shared" si="8"/>
        <v>4.7564415861946215E-2</v>
      </c>
      <c r="E67">
        <f t="shared" si="14"/>
        <v>297.58964792005219</v>
      </c>
      <c r="F67">
        <f t="shared" si="10"/>
        <v>4.3305847491260922E-2</v>
      </c>
      <c r="G67">
        <f t="shared" si="15"/>
        <v>297.57900149912547</v>
      </c>
    </row>
    <row r="68" spans="1:7" x14ac:dyDescent="0.35">
      <c r="A68">
        <v>66</v>
      </c>
      <c r="B68">
        <f t="shared" si="12"/>
        <v>330</v>
      </c>
      <c r="C68">
        <f t="shared" si="13"/>
        <v>297.57900149912547</v>
      </c>
      <c r="D68">
        <f t="shared" si="8"/>
        <v>4.3496543008455214E-2</v>
      </c>
      <c r="E68">
        <f t="shared" si="14"/>
        <v>297.79648421416772</v>
      </c>
      <c r="F68">
        <f t="shared" si="10"/>
        <v>3.960003416464896E-2</v>
      </c>
      <c r="G68">
        <f t="shared" si="15"/>
        <v>297.78674294205825</v>
      </c>
    </row>
    <row r="69" spans="1:7" x14ac:dyDescent="0.35">
      <c r="A69">
        <v>67</v>
      </c>
      <c r="B69">
        <f t="shared" si="12"/>
        <v>335</v>
      </c>
      <c r="C69">
        <f t="shared" si="13"/>
        <v>297.78674294205825</v>
      </c>
      <c r="D69">
        <f t="shared" si="8"/>
        <v>3.9774608783191216E-2</v>
      </c>
      <c r="E69">
        <f t="shared" si="14"/>
        <v>297.98561598597422</v>
      </c>
      <c r="F69">
        <f t="shared" si="10"/>
        <v>3.6209723891428229E-2</v>
      </c>
      <c r="G69">
        <f t="shared" si="15"/>
        <v>297.97670377374482</v>
      </c>
    </row>
    <row r="70" spans="1:7" x14ac:dyDescent="0.35">
      <c r="A70">
        <v>68</v>
      </c>
      <c r="B70">
        <f t="shared" si="12"/>
        <v>340</v>
      </c>
      <c r="C70">
        <f t="shared" si="13"/>
        <v>297.97670377374482</v>
      </c>
      <c r="D70">
        <f t="shared" si="8"/>
        <v>3.6369517600943743E-2</v>
      </c>
      <c r="E70">
        <f t="shared" si="14"/>
        <v>298.15855136174952</v>
      </c>
      <c r="F70">
        <f t="shared" si="10"/>
        <v>3.3108322141700605E-2</v>
      </c>
      <c r="G70">
        <f t="shared" si="15"/>
        <v>298.15039837310144</v>
      </c>
    </row>
    <row r="71" spans="1:7" x14ac:dyDescent="0.35">
      <c r="A71">
        <v>69</v>
      </c>
      <c r="B71">
        <f t="shared" si="12"/>
        <v>345</v>
      </c>
      <c r="C71">
        <f t="shared" si="13"/>
        <v>298.15039837310144</v>
      </c>
      <c r="D71">
        <f t="shared" si="8"/>
        <v>3.3254567341899084E-2</v>
      </c>
      <c r="E71">
        <f t="shared" si="14"/>
        <v>298.31667120981092</v>
      </c>
      <c r="F71">
        <f t="shared" si="10"/>
        <v>3.0271431934200271E-2</v>
      </c>
      <c r="G71">
        <f t="shared" si="15"/>
        <v>298.30921337129166</v>
      </c>
    </row>
    <row r="72" spans="1:7" x14ac:dyDescent="0.35">
      <c r="A72">
        <v>70</v>
      </c>
      <c r="B72">
        <f>B71+$H$2</f>
        <v>350</v>
      </c>
      <c r="C72">
        <f>G71</f>
        <v>298.30921337129166</v>
      </c>
      <c r="D72">
        <f>0.3*C72^(3/4)*(1-(C72/300)^(1/4))</f>
        <v>3.0405261435440648E-2</v>
      </c>
      <c r="E72">
        <f>C72+$H$2*D72</f>
        <v>298.46123967846887</v>
      </c>
      <c r="F72">
        <f>0.3*E72^(3/4)*(1-(E72/300)^(1/4))</f>
        <v>2.7676679627697074E-2</v>
      </c>
      <c r="G72">
        <f>C72+$H$2*(D72+F72)/2</f>
        <v>298.45441822394952</v>
      </c>
    </row>
    <row r="73" spans="1:7" x14ac:dyDescent="0.35">
      <c r="A73">
        <v>71</v>
      </c>
      <c r="B73">
        <f>B72+$H$2</f>
        <v>355</v>
      </c>
      <c r="C73">
        <f>G72</f>
        <v>298.45441822394952</v>
      </c>
      <c r="D73">
        <f>0.3*C73^(3/4)*(1-(C73/300)^(1/4))</f>
        <v>2.7799134167143559E-2</v>
      </c>
      <c r="E73">
        <f>C73+$H$2*D73</f>
        <v>298.59341389478521</v>
      </c>
      <c r="F73">
        <f>0.3*E73^(3/4)*(1-(E73/300)^(1/4))</f>
        <v>2.5303553268662241E-2</v>
      </c>
      <c r="G73">
        <f>C73+$H$2*(D73+F73)/2</f>
        <v>298.58717494253904</v>
      </c>
    </row>
    <row r="74" spans="1:7" x14ac:dyDescent="0.35">
      <c r="A74">
        <v>72</v>
      </c>
      <c r="B74">
        <f t="shared" ref="B74:B81" si="16">B73+$H$2</f>
        <v>360</v>
      </c>
      <c r="C74">
        <f t="shared" ref="C74:C81" si="17">G73</f>
        <v>298.58717494253904</v>
      </c>
      <c r="D74">
        <f t="shared" ref="D74:D85" si="18">0.3*C74^(3/4)*(1-(C74/300)^(1/4))</f>
        <v>2.541558855085908E-2</v>
      </c>
      <c r="E74">
        <f t="shared" ref="E74:E81" si="19">C74+$H$2*D74</f>
        <v>298.71425288529332</v>
      </c>
      <c r="F74">
        <f t="shared" ref="F74:F85" si="20">0.3*E74^(3/4)*(1-(E74/300)^(1/4))</f>
        <v>2.3133252811569409E-2</v>
      </c>
      <c r="G74">
        <f t="shared" ref="G74:G81" si="21">C74+$H$2*(D74+F74)/2</f>
        <v>298.70854704594512</v>
      </c>
    </row>
    <row r="75" spans="1:7" x14ac:dyDescent="0.35">
      <c r="A75">
        <v>73</v>
      </c>
      <c r="B75">
        <f t="shared" si="16"/>
        <v>365</v>
      </c>
      <c r="C75">
        <f t="shared" si="17"/>
        <v>298.70854704594512</v>
      </c>
      <c r="D75">
        <f t="shared" si="18"/>
        <v>2.3235746086670429E-2</v>
      </c>
      <c r="E75">
        <f t="shared" si="19"/>
        <v>298.8247257763785</v>
      </c>
      <c r="F75">
        <f t="shared" si="20"/>
        <v>2.1148551522563338E-2</v>
      </c>
      <c r="G75">
        <f t="shared" si="21"/>
        <v>298.81950778996821</v>
      </c>
    </row>
    <row r="76" spans="1:7" x14ac:dyDescent="0.35">
      <c r="A76">
        <v>74</v>
      </c>
      <c r="B76">
        <f t="shared" si="16"/>
        <v>370</v>
      </c>
      <c r="C76">
        <f t="shared" si="17"/>
        <v>298.81950778996821</v>
      </c>
      <c r="D76">
        <f t="shared" si="18"/>
        <v>2.1242307718821754E-2</v>
      </c>
      <c r="E76">
        <f t="shared" si="19"/>
        <v>298.92571932856231</v>
      </c>
      <c r="F76">
        <f t="shared" si="20"/>
        <v>1.933366788257182E-2</v>
      </c>
      <c r="G76">
        <f t="shared" si="21"/>
        <v>298.92094772897173</v>
      </c>
    </row>
    <row r="77" spans="1:7" x14ac:dyDescent="0.35">
      <c r="A77">
        <v>75</v>
      </c>
      <c r="B77">
        <f t="shared" si="16"/>
        <v>375</v>
      </c>
      <c r="C77">
        <f t="shared" si="17"/>
        <v>298.92094772897173</v>
      </c>
      <c r="D77">
        <f t="shared" si="18"/>
        <v>1.9419425311932602E-2</v>
      </c>
      <c r="E77">
        <f t="shared" si="19"/>
        <v>299.0180448555314</v>
      </c>
      <c r="F77">
        <f t="shared" si="20"/>
        <v>1.7674147319523655E-2</v>
      </c>
      <c r="G77">
        <f t="shared" si="21"/>
        <v>299.01368166055039</v>
      </c>
    </row>
    <row r="78" spans="1:7" x14ac:dyDescent="0.35">
      <c r="A78">
        <v>76</v>
      </c>
      <c r="B78">
        <f t="shared" si="16"/>
        <v>380</v>
      </c>
      <c r="C78">
        <f t="shared" si="17"/>
        <v>299.01368166055039</v>
      </c>
      <c r="D78">
        <f t="shared" si="18"/>
        <v>1.775258297669708E-2</v>
      </c>
      <c r="E78">
        <f t="shared" si="19"/>
        <v>299.10244457543388</v>
      </c>
      <c r="F78">
        <f t="shared" si="20"/>
        <v>1.6156753119000729E-2</v>
      </c>
      <c r="G78">
        <f t="shared" si="21"/>
        <v>299.09845500078961</v>
      </c>
    </row>
    <row r="79" spans="1:7" x14ac:dyDescent="0.35">
      <c r="A79">
        <v>77</v>
      </c>
      <c r="B79">
        <f t="shared" si="16"/>
        <v>385</v>
      </c>
      <c r="C79">
        <f t="shared" si="17"/>
        <v>299.09845500078961</v>
      </c>
      <c r="D79">
        <f t="shared" si="18"/>
        <v>1.6228487595298255E-2</v>
      </c>
      <c r="E79">
        <f t="shared" si="19"/>
        <v>299.17959743876611</v>
      </c>
      <c r="F79">
        <f t="shared" si="20"/>
        <v>1.4769365886900131E-2</v>
      </c>
      <c r="G79">
        <f t="shared" si="21"/>
        <v>299.17594963449511</v>
      </c>
    </row>
    <row r="80" spans="1:7" x14ac:dyDescent="0.35">
      <c r="A80">
        <v>78</v>
      </c>
      <c r="B80">
        <f t="shared" si="16"/>
        <v>390</v>
      </c>
      <c r="C80">
        <f t="shared" si="17"/>
        <v>299.17594963449511</v>
      </c>
      <c r="D80">
        <f t="shared" si="18"/>
        <v>1.4834967920433172E-2</v>
      </c>
      <c r="E80">
        <f t="shared" si="19"/>
        <v>299.25012447409728</v>
      </c>
      <c r="F80">
        <f t="shared" si="20"/>
        <v>1.3500890964855142E-2</v>
      </c>
      <c r="G80">
        <f t="shared" si="21"/>
        <v>299.24678928170835</v>
      </c>
    </row>
    <row r="81" spans="1:7" x14ac:dyDescent="0.35">
      <c r="A81">
        <v>79</v>
      </c>
      <c r="B81">
        <f t="shared" si="16"/>
        <v>395</v>
      </c>
      <c r="C81" s="2">
        <f t="shared" si="17"/>
        <v>299.24678928170835</v>
      </c>
      <c r="D81">
        <f t="shared" si="18"/>
        <v>1.356088164879469E-2</v>
      </c>
      <c r="E81" s="2">
        <f t="shared" si="19"/>
        <v>299.31459368995235</v>
      </c>
      <c r="F81">
        <f t="shared" si="20"/>
        <v>1.2341173228519308E-2</v>
      </c>
      <c r="G81">
        <f t="shared" si="21"/>
        <v>299.31154441890163</v>
      </c>
    </row>
    <row r="82" spans="1:7" x14ac:dyDescent="0.35">
      <c r="A82">
        <v>80</v>
      </c>
      <c r="B82">
        <f t="shared" ref="B82:B85" si="22">B81+$H$2</f>
        <v>400</v>
      </c>
      <c r="C82" s="1">
        <f t="shared" ref="C82:C85" si="23">G81</f>
        <v>299.31154441890163</v>
      </c>
      <c r="D82">
        <f t="shared" si="18"/>
        <v>1.2396029898719648E-2</v>
      </c>
      <c r="E82" s="1">
        <f t="shared" ref="E82:E85" si="24">C82+$H$2*D82</f>
        <v>299.37352456839523</v>
      </c>
      <c r="F82">
        <f t="shared" si="20"/>
        <v>1.1280918729042038E-2</v>
      </c>
      <c r="G82">
        <f t="shared" ref="G82:G85" si="25">C82+$H$2*(D82+F82)/2</f>
        <v>299.37073679047103</v>
      </c>
    </row>
    <row r="83" spans="1:7" x14ac:dyDescent="0.35">
      <c r="C83" s="2"/>
      <c r="E83" s="2"/>
    </row>
    <row r="85" spans="1:7" x14ac:dyDescent="0.35">
      <c r="C85" s="2"/>
      <c r="E8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ej35_Euler</vt:lpstr>
      <vt:lpstr>ej35_Heun</vt:lpstr>
      <vt:lpstr>ej41_Euler</vt:lpstr>
      <vt:lpstr>Ej41_Heun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Calixto Calle Onofre</dc:creator>
  <cp:lastModifiedBy>Milan Calixto Calle Onofre</cp:lastModifiedBy>
  <dcterms:created xsi:type="dcterms:W3CDTF">2025-12-02T11:45:15Z</dcterms:created>
  <dcterms:modified xsi:type="dcterms:W3CDTF">2025-12-04T11:28:25Z</dcterms:modified>
</cp:coreProperties>
</file>